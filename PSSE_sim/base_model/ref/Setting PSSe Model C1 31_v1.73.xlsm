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heme/themeOverride1.xml" ContentType="application/vnd.openxmlformats-officedocument.themeOverrid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3.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5.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8C4F1C90-05EB-6A55-5F09-09C24B55AC0B}"/>
  <workbookPr codeName="ThisWorkbook"/>
  <mc:AlternateContent xmlns:mc="http://schemas.openxmlformats.org/markup-compatibility/2006">
    <mc:Choice Requires="x15">
      <x15ac:absPath xmlns:x15ac="http://schemas.microsoft.com/office/spreadsheetml/2010/11/ac" url="https://escopacific.sharepoint.com/Data/18. Grid/Connection Studies/Inverter models/SMA/Models/PSCAD model/"/>
    </mc:Choice>
  </mc:AlternateContent>
  <xr:revisionPtr revIDLastSave="0" documentId="11_7DD5857162DAD614FD37C6DEA0D0EB7066B4B8A5" xr6:coauthVersionLast="47" xr6:coauthVersionMax="47" xr10:uidLastSave="{00000000-0000-0000-0000-000000000000}"/>
  <bookViews>
    <workbookView xWindow="28680" yWindow="-30" windowWidth="29040" windowHeight="17640" activeTab="2" xr2:uid="{00000000-000D-0000-FFFF-FFFF00000000}"/>
  </bookViews>
  <sheets>
    <sheet name="Import &amp; Export" sheetId="10" r:id="rId1"/>
    <sheet name="Hidden Calculation" sheetId="11" r:id="rId2"/>
    <sheet name="SCx00CP-XT" sheetId="3" r:id="rId3"/>
    <sheet name="SunnyCentral" sheetId="1" r:id="rId4"/>
    <sheet name="PPC" sheetId="4" r:id="rId5"/>
    <sheet name="Sheet1" sheetId="14" state="hidden" r:id="rId6"/>
    <sheet name="Volt ride-thru" sheetId="8" state="hidden" r:id="rId7"/>
    <sheet name="Volt ride-thru graph" sheetId="17" r:id="rId8"/>
    <sheet name="Freq ride-thru" sheetId="7" state="hidden" r:id="rId9"/>
    <sheet name="Freq ride-thru graph" sheetId="18" r:id="rId10"/>
    <sheet name="PSCAD" sheetId="13" r:id="rId11"/>
  </sheets>
  <definedNames>
    <definedName name="Export_Inverter">'Hidden Calculation'!$B$93</definedName>
    <definedName name="Export_PPC">'Hidden Calculation'!$G$93</definedName>
    <definedName name="J_inverter_data">'Hidden Calculation'!$B$3</definedName>
    <definedName name="J_inverter_raw">'Hidden Calculation'!$B$2</definedName>
    <definedName name="J_PPC_data">'Hidden Calculation'!$G$3</definedName>
    <definedName name="J_PPC_raw">'Hidden Calculation'!$G$2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3" i="7" l="1"/>
  <c r="I23" i="7"/>
  <c r="I21" i="7"/>
  <c r="H21" i="7"/>
  <c r="C21" i="7"/>
  <c r="F20" i="7" s="1"/>
  <c r="C22" i="7"/>
  <c r="C23" i="7"/>
  <c r="H20" i="7" s="1"/>
  <c r="C24" i="7"/>
  <c r="K21" i="7" s="1"/>
  <c r="C25" i="7"/>
  <c r="J20" i="7" s="1"/>
  <c r="C26" i="7"/>
  <c r="K24" i="7" s="1"/>
  <c r="C27" i="7"/>
  <c r="C28" i="7"/>
  <c r="I24" i="7" s="1"/>
  <c r="C29" i="7"/>
  <c r="H23" i="7" s="1"/>
  <c r="C30" i="7"/>
  <c r="G24" i="7" s="1"/>
  <c r="C31" i="7"/>
  <c r="F23" i="7" s="1"/>
  <c r="C20" i="7"/>
  <c r="G21" i="7" s="1"/>
  <c r="C3" i="7"/>
  <c r="C4" i="7"/>
  <c r="C5" i="7"/>
  <c r="C6" i="7"/>
  <c r="C7" i="7"/>
  <c r="C8" i="7"/>
  <c r="C9" i="7"/>
  <c r="C10" i="7"/>
  <c r="C11" i="7"/>
  <c r="C12" i="7"/>
  <c r="C13" i="7"/>
  <c r="C2" i="7"/>
  <c r="H24" i="7" l="1"/>
  <c r="I20" i="7"/>
  <c r="G23" i="7"/>
  <c r="G20" i="7"/>
  <c r="F21" i="7"/>
  <c r="J21" i="7"/>
  <c r="F24" i="7"/>
  <c r="J24" i="7"/>
  <c r="F63" i="8"/>
  <c r="I54" i="8" l="1"/>
  <c r="F54" i="8"/>
  <c r="F51" i="8"/>
  <c r="G51" i="8" s="1"/>
  <c r="I51" i="8"/>
  <c r="C32" i="8"/>
  <c r="C33" i="8"/>
  <c r="I31" i="8" s="1"/>
  <c r="C34" i="8"/>
  <c r="I30" i="8" s="1"/>
  <c r="C35" i="8"/>
  <c r="L31" i="8" s="1"/>
  <c r="C36" i="8"/>
  <c r="K30" i="8" s="1"/>
  <c r="C37" i="8"/>
  <c r="K33" i="8" s="1"/>
  <c r="C38" i="8"/>
  <c r="K32" i="8" s="1"/>
  <c r="C39" i="8"/>
  <c r="J33" i="8" s="1"/>
  <c r="C40" i="8"/>
  <c r="C41" i="8"/>
  <c r="G33" i="8" s="1"/>
  <c r="C42" i="8"/>
  <c r="G32" i="8" s="1"/>
  <c r="C31" i="8"/>
  <c r="H31" i="8" s="1"/>
  <c r="J54" i="8"/>
  <c r="G54" i="8"/>
  <c r="J51" i="8"/>
  <c r="H32" i="8"/>
  <c r="I33" i="8"/>
  <c r="F33" i="8"/>
  <c r="I32" i="8"/>
  <c r="G30" i="8"/>
  <c r="J31" i="8" l="1"/>
  <c r="H33" i="8"/>
  <c r="J30" i="8"/>
  <c r="L33" i="8"/>
  <c r="H30" i="8"/>
  <c r="J32" i="8"/>
  <c r="F32" i="8"/>
  <c r="G31" i="8"/>
  <c r="K31" i="8"/>
  <c r="F22" i="8"/>
  <c r="G22" i="8"/>
  <c r="I22" i="8"/>
  <c r="J22" i="8" s="1"/>
  <c r="F25" i="8"/>
  <c r="G25" i="8" s="1"/>
  <c r="I25" i="8"/>
  <c r="J25" i="8" s="1"/>
  <c r="C143" i="13" l="1"/>
  <c r="C144" i="13" s="1"/>
  <c r="C142" i="13"/>
  <c r="C141" i="13"/>
  <c r="C137" i="13"/>
  <c r="C138" i="13" s="1"/>
  <c r="C136" i="13"/>
  <c r="C135" i="13"/>
  <c r="C98" i="13" s="1"/>
  <c r="C132" i="13"/>
  <c r="C131" i="13"/>
  <c r="C130" i="13"/>
  <c r="C127" i="13"/>
  <c r="C126" i="13"/>
  <c r="C125" i="13"/>
  <c r="C97" i="13" s="1"/>
  <c r="C121" i="13"/>
  <c r="C122" i="13" s="1"/>
  <c r="C120" i="13"/>
  <c r="C119" i="13"/>
  <c r="C115" i="13"/>
  <c r="C116" i="13" s="1"/>
  <c r="C114" i="13"/>
  <c r="C113" i="13"/>
  <c r="C109" i="13"/>
  <c r="C108" i="13"/>
  <c r="C107" i="13"/>
  <c r="C103" i="13"/>
  <c r="C104" i="13" s="1"/>
  <c r="C102" i="13"/>
  <c r="C101" i="13"/>
  <c r="C68" i="13"/>
  <c r="C66" i="13"/>
  <c r="C46" i="13"/>
  <c r="C35" i="13"/>
  <c r="C34" i="13"/>
  <c r="C33" i="13"/>
  <c r="C32" i="13"/>
  <c r="C31" i="13"/>
  <c r="C30" i="13"/>
  <c r="C26" i="13"/>
  <c r="C42" i="13" s="1"/>
  <c r="C25" i="13"/>
  <c r="C39" i="13" s="1"/>
  <c r="C22" i="13"/>
  <c r="C10" i="13"/>
  <c r="C12" i="13"/>
  <c r="C43" i="13"/>
  <c r="C9" i="13"/>
  <c r="C8" i="13"/>
  <c r="C38" i="13" l="1"/>
  <c r="B96" i="11"/>
  <c r="C2" i="8" l="1"/>
  <c r="C3" i="8"/>
  <c r="C4" i="8"/>
  <c r="C5" i="8"/>
  <c r="C6" i="8"/>
  <c r="C7" i="8"/>
  <c r="C8" i="8"/>
  <c r="C9" i="8"/>
  <c r="C10" i="8"/>
  <c r="C11" i="8"/>
  <c r="C12" i="8"/>
  <c r="C13" i="8"/>
  <c r="F4" i="7"/>
  <c r="B3" i="11" l="1"/>
  <c r="H4" i="11" l="1"/>
  <c r="G3" i="11"/>
  <c r="I4" i="11" l="1"/>
  <c r="H5" i="11" s="1"/>
  <c r="I5" i="11" s="1"/>
  <c r="H6" i="11" s="1"/>
  <c r="I6" i="11" s="1"/>
  <c r="H7" i="11" s="1"/>
  <c r="I7" i="11" s="1"/>
  <c r="H8" i="11" s="1"/>
  <c r="D4" i="11"/>
  <c r="E4" i="11" s="1"/>
  <c r="J6" i="11" l="1"/>
  <c r="J4" i="11"/>
  <c r="C5" i="11"/>
  <c r="J5" i="11"/>
  <c r="J7" i="11"/>
  <c r="I8" i="11"/>
  <c r="H9" i="11" s="1"/>
  <c r="J8" i="11" l="1"/>
  <c r="D5" i="11"/>
  <c r="C6" i="11" s="1"/>
  <c r="I9" i="11"/>
  <c r="H10" i="11" s="1"/>
  <c r="J9" i="11" l="1"/>
  <c r="D6" i="11"/>
  <c r="C7" i="11" s="1"/>
  <c r="E5" i="11"/>
  <c r="I10" i="11"/>
  <c r="H11" i="11" s="1"/>
  <c r="J10" i="11" l="1"/>
  <c r="E6" i="11"/>
  <c r="D7" i="11"/>
  <c r="C8" i="11" s="1"/>
  <c r="I11" i="11"/>
  <c r="H12" i="11" s="1"/>
  <c r="J11" i="11" l="1"/>
  <c r="E7" i="11"/>
  <c r="D8" i="11"/>
  <c r="C9" i="11" s="1"/>
  <c r="I12" i="11"/>
  <c r="H13" i="11" s="1"/>
  <c r="J12" i="11" l="1"/>
  <c r="E8" i="11"/>
  <c r="D9" i="11"/>
  <c r="C10" i="11" s="1"/>
  <c r="I13" i="11"/>
  <c r="H14" i="11" s="1"/>
  <c r="J13" i="11" l="1"/>
  <c r="E9" i="11"/>
  <c r="D10" i="11"/>
  <c r="C11" i="11" s="1"/>
  <c r="I14" i="11"/>
  <c r="H15" i="11" s="1"/>
  <c r="J14" i="11" l="1"/>
  <c r="E10" i="11"/>
  <c r="D11" i="11"/>
  <c r="C12" i="11" s="1"/>
  <c r="I15" i="11"/>
  <c r="H16" i="11" s="1"/>
  <c r="J15" i="11" l="1"/>
  <c r="E11" i="11"/>
  <c r="D12" i="11"/>
  <c r="C13" i="11" s="1"/>
  <c r="I16" i="11"/>
  <c r="H17" i="11" s="1"/>
  <c r="J16" i="11" l="1"/>
  <c r="E12" i="11"/>
  <c r="D13" i="11"/>
  <c r="C14" i="11" s="1"/>
  <c r="I17" i="11"/>
  <c r="H18" i="11" s="1"/>
  <c r="J17" i="11" l="1"/>
  <c r="G93" i="11" s="1"/>
  <c r="E13" i="11"/>
  <c r="B93" i="11" s="1"/>
  <c r="D14" i="11"/>
  <c r="C15" i="11" s="1"/>
  <c r="I18" i="11"/>
  <c r="H19" i="11" s="1"/>
  <c r="J18" i="11" l="1"/>
  <c r="H4" i="4" s="1"/>
  <c r="E14" i="11"/>
  <c r="H9" i="1" s="1"/>
  <c r="D15" i="11"/>
  <c r="C16" i="11" s="1"/>
  <c r="I19" i="11"/>
  <c r="H20" i="11" s="1"/>
  <c r="E15" i="11" l="1"/>
  <c r="H10" i="1" s="1"/>
  <c r="J19" i="11"/>
  <c r="H8" i="4" s="1"/>
  <c r="D16" i="11"/>
  <c r="C17" i="11" s="1"/>
  <c r="I20" i="11"/>
  <c r="H21" i="11" s="1"/>
  <c r="J20" i="11" l="1"/>
  <c r="H9" i="4" s="1"/>
  <c r="E16" i="11"/>
  <c r="H11" i="1" s="1"/>
  <c r="D17" i="11"/>
  <c r="C18" i="11" s="1"/>
  <c r="I21" i="11"/>
  <c r="H22" i="11" s="1"/>
  <c r="J21" i="11" l="1"/>
  <c r="H10" i="4" s="1"/>
  <c r="E17" i="11"/>
  <c r="H12" i="1" s="1"/>
  <c r="H15" i="1"/>
  <c r="D18" i="11"/>
  <c r="C19" i="11" s="1"/>
  <c r="I22" i="11"/>
  <c r="H23" i="11" s="1"/>
  <c r="E18" i="11" l="1"/>
  <c r="H13" i="1" s="1"/>
  <c r="J22" i="11"/>
  <c r="H11" i="4" s="1"/>
  <c r="D19" i="11"/>
  <c r="C20" i="11" s="1"/>
  <c r="I23" i="11"/>
  <c r="H24" i="11" s="1"/>
  <c r="J23" i="11" l="1"/>
  <c r="H12" i="4" s="1"/>
  <c r="E19" i="11"/>
  <c r="H14" i="1" s="1"/>
  <c r="H17" i="1"/>
  <c r="D20" i="11"/>
  <c r="C21" i="11" s="1"/>
  <c r="I24" i="11"/>
  <c r="H25" i="11" s="1"/>
  <c r="J24" i="11" l="1"/>
  <c r="H13" i="4" s="1"/>
  <c r="E20" i="11"/>
  <c r="H16" i="1" s="1"/>
  <c r="D21" i="11"/>
  <c r="C22" i="11" s="1"/>
  <c r="H18" i="1"/>
  <c r="I25" i="11"/>
  <c r="H26" i="11" s="1"/>
  <c r="J25" i="11" l="1"/>
  <c r="H14" i="4" s="1"/>
  <c r="E21" i="11"/>
  <c r="H20" i="1" s="1"/>
  <c r="H19" i="1"/>
  <c r="D22" i="11"/>
  <c r="C23" i="11" s="1"/>
  <c r="I26" i="11"/>
  <c r="H27" i="11" s="1"/>
  <c r="J26" i="11" l="1"/>
  <c r="H15" i="4" s="1"/>
  <c r="E22" i="11"/>
  <c r="H21" i="1" s="1"/>
  <c r="D23" i="11"/>
  <c r="C24" i="11" s="1"/>
  <c r="I27" i="11"/>
  <c r="H28" i="11" s="1"/>
  <c r="J27" i="11" l="1"/>
  <c r="H16" i="4" s="1"/>
  <c r="E23" i="11"/>
  <c r="H22" i="1" s="1"/>
  <c r="D24" i="11"/>
  <c r="C25" i="11" s="1"/>
  <c r="I28" i="11"/>
  <c r="H29" i="11" s="1"/>
  <c r="J28" i="11" l="1"/>
  <c r="H17" i="4" s="1"/>
  <c r="E24" i="11"/>
  <c r="H23" i="1" s="1"/>
  <c r="D25" i="11"/>
  <c r="C26" i="11" s="1"/>
  <c r="I29" i="11"/>
  <c r="H30" i="11" s="1"/>
  <c r="J29" i="11" l="1"/>
  <c r="H18" i="4" s="1"/>
  <c r="E25" i="11"/>
  <c r="H24" i="1" s="1"/>
  <c r="D26" i="11"/>
  <c r="C27" i="11" s="1"/>
  <c r="I30" i="11"/>
  <c r="H31" i="11" s="1"/>
  <c r="J30" i="11" l="1"/>
  <c r="H19" i="4" s="1"/>
  <c r="E26" i="11"/>
  <c r="H25" i="1" s="1"/>
  <c r="D27" i="11"/>
  <c r="C28" i="11" s="1"/>
  <c r="I31" i="11"/>
  <c r="H32" i="11" s="1"/>
  <c r="J31" i="11" l="1"/>
  <c r="H20" i="4" s="1"/>
  <c r="E27" i="11"/>
  <c r="H26" i="1" s="1"/>
  <c r="H28" i="1"/>
  <c r="D28" i="11"/>
  <c r="C29" i="11" s="1"/>
  <c r="I32" i="11"/>
  <c r="H33" i="11" s="1"/>
  <c r="J32" i="11" l="1"/>
  <c r="H21" i="4" s="1"/>
  <c r="E28" i="11"/>
  <c r="H27" i="1" s="1"/>
  <c r="D29" i="11"/>
  <c r="C30" i="11" s="1"/>
  <c r="I33" i="11"/>
  <c r="H34" i="11" s="1"/>
  <c r="J33" i="11" l="1"/>
  <c r="H22" i="4" s="1"/>
  <c r="E29" i="11"/>
  <c r="H29" i="1" s="1"/>
  <c r="D30" i="11"/>
  <c r="C31" i="11" s="1"/>
  <c r="I34" i="11"/>
  <c r="H35" i="11" s="1"/>
  <c r="J34" i="11" l="1"/>
  <c r="H23" i="4" s="1"/>
  <c r="E30" i="11"/>
  <c r="H30" i="1" s="1"/>
  <c r="H32" i="1"/>
  <c r="D31" i="11"/>
  <c r="C32" i="11" s="1"/>
  <c r="I35" i="11"/>
  <c r="H36" i="11" s="1"/>
  <c r="J35" i="11" l="1"/>
  <c r="H24" i="4" s="1"/>
  <c r="E31" i="11"/>
  <c r="H31" i="1" s="1"/>
  <c r="D32" i="11"/>
  <c r="C33" i="11" s="1"/>
  <c r="I36" i="11"/>
  <c r="H37" i="11" s="1"/>
  <c r="J36" i="11" l="1"/>
  <c r="H25" i="4" s="1"/>
  <c r="E32" i="11"/>
  <c r="H33" i="1" s="1"/>
  <c r="D33" i="11"/>
  <c r="C34" i="11" s="1"/>
  <c r="I37" i="11"/>
  <c r="H38" i="11" s="1"/>
  <c r="J37" i="11" l="1"/>
  <c r="H26" i="4" s="1"/>
  <c r="E33" i="11"/>
  <c r="H34" i="1" s="1"/>
  <c r="H36" i="1"/>
  <c r="D34" i="11"/>
  <c r="C35" i="11" s="1"/>
  <c r="I38" i="11"/>
  <c r="H39" i="11" s="1"/>
  <c r="J38" i="11" l="1"/>
  <c r="H27" i="4" s="1"/>
  <c r="E34" i="11"/>
  <c r="H35" i="1" s="1"/>
  <c r="D35" i="11"/>
  <c r="C36" i="11" s="1"/>
  <c r="I39" i="11"/>
  <c r="H40" i="11" s="1"/>
  <c r="J39" i="11" l="1"/>
  <c r="H28" i="4" s="1"/>
  <c r="E35" i="11"/>
  <c r="H37" i="1" s="1"/>
  <c r="D36" i="11"/>
  <c r="C37" i="11" s="1"/>
  <c r="I40" i="11"/>
  <c r="H41" i="11" s="1"/>
  <c r="J40" i="11" l="1"/>
  <c r="E36" i="11"/>
  <c r="H38" i="1" s="1"/>
  <c r="D37" i="11"/>
  <c r="C38" i="11" s="1"/>
  <c r="I41" i="11"/>
  <c r="H42" i="11" s="1"/>
  <c r="H29" i="4"/>
  <c r="E37" i="11" l="1"/>
  <c r="H39" i="1" s="1"/>
  <c r="J41" i="11"/>
  <c r="H30" i="4" s="1"/>
  <c r="D38" i="11"/>
  <c r="C39" i="11" s="1"/>
  <c r="I42" i="11"/>
  <c r="H43" i="11" s="1"/>
  <c r="J42" i="11" l="1"/>
  <c r="H31" i="4" s="1"/>
  <c r="E38" i="11"/>
  <c r="H40" i="1" s="1"/>
  <c r="H43" i="1"/>
  <c r="D39" i="11"/>
  <c r="C40" i="11" s="1"/>
  <c r="I43" i="11"/>
  <c r="H44" i="11" s="1"/>
  <c r="J43" i="11" l="1"/>
  <c r="H32" i="4" s="1"/>
  <c r="E39" i="11"/>
  <c r="H41" i="1" s="1"/>
  <c r="D40" i="11"/>
  <c r="C41" i="11" s="1"/>
  <c r="H44" i="1"/>
  <c r="I44" i="11"/>
  <c r="H45" i="11" s="1"/>
  <c r="I45" i="11" l="1"/>
  <c r="J45" i="11" s="1"/>
  <c r="H34" i="4" s="1"/>
  <c r="J44" i="11"/>
  <c r="H33" i="4" s="1"/>
  <c r="E40" i="11"/>
  <c r="H42" i="1" s="1"/>
  <c r="D41" i="11"/>
  <c r="C42" i="11" s="1"/>
  <c r="E41" i="11" l="1"/>
  <c r="H45" i="1" s="1"/>
  <c r="D42" i="11"/>
  <c r="C43" i="11" s="1"/>
  <c r="E42" i="11" l="1"/>
  <c r="H46" i="1" s="1"/>
  <c r="D43" i="11"/>
  <c r="C44" i="11" s="1"/>
  <c r="E43" i="11" l="1"/>
  <c r="H47" i="1" s="1"/>
  <c r="D44" i="11"/>
  <c r="C45" i="11" s="1"/>
  <c r="E44" i="11" l="1"/>
  <c r="H48" i="1" s="1"/>
  <c r="D45" i="11"/>
  <c r="C46" i="11" s="1"/>
  <c r="E45" i="11" l="1"/>
  <c r="D46" i="11"/>
  <c r="C47" i="11" s="1"/>
  <c r="F81" i="8" l="1"/>
  <c r="G81" i="8" s="1"/>
  <c r="H49" i="1"/>
  <c r="E46" i="11"/>
  <c r="D47" i="11"/>
  <c r="C48" i="11" s="1"/>
  <c r="I81" i="8" l="1"/>
  <c r="J81" i="8" s="1"/>
  <c r="H50" i="1"/>
  <c r="E47" i="11"/>
  <c r="D48" i="11"/>
  <c r="C49" i="11" s="1"/>
  <c r="F84" i="8" l="1"/>
  <c r="G84" i="8" s="1"/>
  <c r="H51" i="1"/>
  <c r="E48" i="11"/>
  <c r="D49" i="11"/>
  <c r="C50" i="11" s="1"/>
  <c r="I84" i="8" l="1"/>
  <c r="J84" i="8" s="1"/>
  <c r="H52" i="1"/>
  <c r="E49" i="11"/>
  <c r="H53" i="1" s="1"/>
  <c r="D50" i="11"/>
  <c r="C51" i="11" s="1"/>
  <c r="E50" i="11" l="1"/>
  <c r="H54" i="1" s="1"/>
  <c r="D51" i="11"/>
  <c r="C52" i="11" s="1"/>
  <c r="E51" i="11" l="1"/>
  <c r="H55" i="1" s="1"/>
  <c r="D52" i="11"/>
  <c r="C53" i="11" s="1"/>
  <c r="E52" i="11" l="1"/>
  <c r="D53" i="11"/>
  <c r="C54" i="11" s="1"/>
  <c r="H57" i="1" l="1"/>
  <c r="H56" i="1"/>
  <c r="E53" i="11"/>
  <c r="H58" i="1" s="1"/>
  <c r="D54" i="11"/>
  <c r="C55" i="11" s="1"/>
  <c r="E54" i="11" l="1"/>
  <c r="H59" i="1" s="1"/>
  <c r="D55" i="11"/>
  <c r="C56" i="11" s="1"/>
  <c r="E55" i="11" l="1"/>
  <c r="H60" i="1" s="1"/>
  <c r="D56" i="11"/>
  <c r="C57" i="11" s="1"/>
  <c r="E56" i="11" l="1"/>
  <c r="H61" i="1" s="1"/>
  <c r="D57" i="11"/>
  <c r="C58" i="11" s="1"/>
  <c r="E57" i="11" l="1"/>
  <c r="H62" i="1" s="1"/>
  <c r="D58" i="11"/>
  <c r="C59" i="11" s="1"/>
  <c r="E58" i="11" l="1"/>
  <c r="H63" i="1" s="1"/>
  <c r="D59" i="11"/>
  <c r="C60" i="11" s="1"/>
  <c r="E59" i="11" l="1"/>
  <c r="H64" i="1" s="1"/>
  <c r="D60" i="11"/>
  <c r="C61" i="11" s="1"/>
  <c r="E60" i="11" l="1"/>
  <c r="D61" i="11"/>
  <c r="C62" i="11" s="1"/>
  <c r="C61" i="8" l="1"/>
  <c r="H65" i="1"/>
  <c r="H61" i="8"/>
  <c r="G61" i="8"/>
  <c r="E61" i="11"/>
  <c r="D62" i="11"/>
  <c r="C63" i="11" s="1"/>
  <c r="C62" i="8" l="1"/>
  <c r="G60" i="8" s="1"/>
  <c r="H66" i="1"/>
  <c r="E62" i="11"/>
  <c r="D63" i="11"/>
  <c r="C64" i="11" s="1"/>
  <c r="C63" i="8" l="1"/>
  <c r="H67" i="1"/>
  <c r="J61" i="8"/>
  <c r="I61" i="8"/>
  <c r="E63" i="11"/>
  <c r="D64" i="11"/>
  <c r="C65" i="11" s="1"/>
  <c r="C64" i="8" l="1"/>
  <c r="H68" i="1"/>
  <c r="I60" i="8"/>
  <c r="H60" i="8"/>
  <c r="E64" i="11"/>
  <c r="D65" i="11"/>
  <c r="C66" i="11" s="1"/>
  <c r="C65" i="8" l="1"/>
  <c r="H69" i="1"/>
  <c r="L61" i="8"/>
  <c r="K61" i="8"/>
  <c r="E65" i="11"/>
  <c r="D66" i="11"/>
  <c r="C67" i="11" s="1"/>
  <c r="C66" i="8" l="1"/>
  <c r="H70" i="1"/>
  <c r="J60" i="8"/>
  <c r="K60" i="8"/>
  <c r="E66" i="11"/>
  <c r="D67" i="11"/>
  <c r="C68" i="11" s="1"/>
  <c r="C67" i="8" l="1"/>
  <c r="H71" i="1"/>
  <c r="L63" i="8"/>
  <c r="K63" i="8"/>
  <c r="E67" i="11"/>
  <c r="D68" i="11"/>
  <c r="C69" i="11" s="1"/>
  <c r="C68" i="8" l="1"/>
  <c r="K62" i="8" s="1"/>
  <c r="H72" i="1"/>
  <c r="E68" i="11"/>
  <c r="D69" i="11"/>
  <c r="C70" i="11" s="1"/>
  <c r="C69" i="8" l="1"/>
  <c r="H73" i="1"/>
  <c r="J62" i="8"/>
  <c r="J63" i="8"/>
  <c r="I63" i="8"/>
  <c r="E69" i="11"/>
  <c r="D70" i="11"/>
  <c r="C71" i="11" s="1"/>
  <c r="C70" i="8" l="1"/>
  <c r="H74" i="1"/>
  <c r="I62" i="8"/>
  <c r="H62" i="8"/>
  <c r="E70" i="11"/>
  <c r="D71" i="11"/>
  <c r="C72" i="11" s="1"/>
  <c r="C71" i="8" l="1"/>
  <c r="H75" i="1"/>
  <c r="H63" i="8"/>
  <c r="G63" i="8"/>
  <c r="E71" i="11"/>
  <c r="D72" i="11"/>
  <c r="C73" i="11" s="1"/>
  <c r="C72" i="8" l="1"/>
  <c r="H76" i="1"/>
  <c r="F62" i="8"/>
  <c r="G62" i="8"/>
  <c r="E72" i="11"/>
  <c r="H77" i="1" s="1"/>
  <c r="D73" i="11"/>
  <c r="C74" i="11" s="1"/>
  <c r="F1" i="7" l="1"/>
  <c r="C38" i="7"/>
  <c r="E73" i="11"/>
  <c r="D74" i="11"/>
  <c r="C75" i="11" s="1"/>
  <c r="C39" i="7" l="1"/>
  <c r="F38" i="7" s="1"/>
  <c r="H78" i="1"/>
  <c r="F39" i="7"/>
  <c r="G39" i="7"/>
  <c r="E74" i="11"/>
  <c r="D75" i="11"/>
  <c r="C76" i="11" s="1"/>
  <c r="C40" i="7" l="1"/>
  <c r="H79" i="1"/>
  <c r="H39" i="7"/>
  <c r="I39" i="7"/>
  <c r="E75" i="11"/>
  <c r="D76" i="11"/>
  <c r="C77" i="11" s="1"/>
  <c r="C41" i="7" l="1"/>
  <c r="H80" i="1"/>
  <c r="G38" i="7"/>
  <c r="H38" i="7"/>
  <c r="E76" i="11"/>
  <c r="D77" i="11"/>
  <c r="C78" i="11" s="1"/>
  <c r="J4" i="7"/>
  <c r="I4" i="7"/>
  <c r="C42" i="7" l="1"/>
  <c r="H81" i="1"/>
  <c r="J39" i="7"/>
  <c r="K39" i="7"/>
  <c r="E77" i="11"/>
  <c r="D78" i="11"/>
  <c r="C79" i="11" s="1"/>
  <c r="C43" i="7" l="1"/>
  <c r="H82" i="1"/>
  <c r="I38" i="7"/>
  <c r="J38" i="7"/>
  <c r="E78" i="11"/>
  <c r="D79" i="11"/>
  <c r="C80" i="11" s="1"/>
  <c r="H4" i="7"/>
  <c r="G4" i="7"/>
  <c r="C44" i="7" l="1"/>
  <c r="H83" i="1"/>
  <c r="K42" i="7"/>
  <c r="J42" i="7"/>
  <c r="E79" i="11"/>
  <c r="D80" i="11"/>
  <c r="C81" i="11" s="1"/>
  <c r="C45" i="7" l="1"/>
  <c r="H84" i="1"/>
  <c r="J41" i="7"/>
  <c r="I41" i="7"/>
  <c r="E80" i="11"/>
  <c r="D81" i="11"/>
  <c r="C82" i="11" s="1"/>
  <c r="C46" i="7" l="1"/>
  <c r="H42" i="7" s="1"/>
  <c r="H85" i="1"/>
  <c r="I42" i="7"/>
  <c r="E81" i="11"/>
  <c r="D82" i="11"/>
  <c r="C83" i="11" s="1"/>
  <c r="C47" i="7" l="1"/>
  <c r="H86" i="1"/>
  <c r="H41" i="7"/>
  <c r="G41" i="7"/>
  <c r="E82" i="11"/>
  <c r="D83" i="11"/>
  <c r="C84" i="11" s="1"/>
  <c r="J1" i="7"/>
  <c r="I2" i="7"/>
  <c r="G1" i="7"/>
  <c r="K2" i="7"/>
  <c r="I1" i="7"/>
  <c r="K5" i="7"/>
  <c r="I5" i="7"/>
  <c r="G5" i="7"/>
  <c r="G2" i="7"/>
  <c r="J2" i="8"/>
  <c r="I1" i="8"/>
  <c r="K2" i="8"/>
  <c r="K1" i="8"/>
  <c r="G1" i="8"/>
  <c r="F4" i="8"/>
  <c r="H1" i="8"/>
  <c r="L4" i="8"/>
  <c r="J3" i="8"/>
  <c r="J4" i="8"/>
  <c r="H3" i="8"/>
  <c r="H4" i="8"/>
  <c r="F3" i="8"/>
  <c r="G2" i="8"/>
  <c r="C48" i="7" l="1"/>
  <c r="H87" i="1"/>
  <c r="G42" i="7"/>
  <c r="F42" i="7"/>
  <c r="E83" i="11"/>
  <c r="D84" i="11"/>
  <c r="C85" i="11" s="1"/>
  <c r="L2" i="8"/>
  <c r="H2" i="8"/>
  <c r="I4" i="8"/>
  <c r="H2" i="7"/>
  <c r="J5" i="7"/>
  <c r="I2" i="8"/>
  <c r="I3" i="8"/>
  <c r="H1" i="7"/>
  <c r="F5" i="7"/>
  <c r="G3" i="8"/>
  <c r="K3" i="8"/>
  <c r="H5" i="7"/>
  <c r="G4" i="8"/>
  <c r="K4" i="8"/>
  <c r="F2" i="7"/>
  <c r="J2" i="7"/>
  <c r="J1" i="8"/>
  <c r="C49" i="7" l="1"/>
  <c r="F41" i="7" s="1"/>
  <c r="H88" i="1"/>
  <c r="E84" i="11"/>
  <c r="H89" i="1" s="1"/>
  <c r="D85" i="11"/>
  <c r="C86" i="11" s="1"/>
  <c r="E85" i="11" l="1"/>
  <c r="H90" i="1" s="1"/>
  <c r="D86" i="11"/>
  <c r="C87" i="11" s="1"/>
  <c r="E86" i="11" l="1"/>
  <c r="H91" i="1" s="1"/>
  <c r="D87" i="11"/>
  <c r="C88" i="11" s="1"/>
  <c r="E87" i="11" l="1"/>
  <c r="H92" i="1" s="1"/>
  <c r="D88" i="11"/>
  <c r="C89" i="11" s="1"/>
  <c r="D89" i="11" l="1"/>
  <c r="C90" i="11" s="1"/>
  <c r="D90" i="11" s="1"/>
  <c r="E90" i="11" s="1"/>
  <c r="E89" i="11"/>
  <c r="E88" i="11"/>
  <c r="H93" i="1" s="1"/>
  <c r="H94" i="1" l="1"/>
</calcChain>
</file>

<file path=xl/sharedStrings.xml><?xml version="1.0" encoding="utf-8"?>
<sst xmlns="http://schemas.openxmlformats.org/spreadsheetml/2006/main" count="1005" uniqueCount="508">
  <si>
    <t>1: activated</t>
  </si>
  <si>
    <t>1: Q set-point</t>
  </si>
  <si>
    <t>2: Power factor(P)</t>
  </si>
  <si>
    <t>3: Q(U)</t>
  </si>
  <si>
    <t>CON</t>
  </si>
  <si>
    <t>Parameter</t>
  </si>
  <si>
    <t>Description</t>
  </si>
  <si>
    <t>Range</t>
  </si>
  <si>
    <t>Default</t>
  </si>
  <si>
    <t>J</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</si>
  <si>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</si>
  <si>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</si>
  <si>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</si>
  <si>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</si>
  <si>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</si>
  <si>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</si>
  <si>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</si>
  <si>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</si>
  <si>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</si>
  <si>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</si>
  <si>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</si>
  <si>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</si>
  <si>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</si>
  <si>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</si>
  <si>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</si>
  <si>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</si>
  <si>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</si>
  <si>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</si>
  <si>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</si>
  <si>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</si>
  <si>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</si>
  <si>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</si>
  <si>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</si>
  <si>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</si>
  <si>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</si>
  <si>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</si>
  <si>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</si>
  <si>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</si>
  <si>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</si>
  <si>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</si>
  <si>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</si>
  <si>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</si>
  <si>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</si>
  <si>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</si>
  <si>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</si>
  <si>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</si>
  <si>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</si>
  <si>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</si>
  <si>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</si>
  <si>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</si>
  <si>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</si>
  <si>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</si>
  <si>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</si>
  <si>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</si>
  <si>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</si>
  <si>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</si>
  <si>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</si>
  <si>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</si>
  <si>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J+49</t>
  </si>
  <si>
    <t>J+50</t>
  </si>
  <si>
    <t>J+51</t>
  </si>
  <si>
    <t>J+52</t>
  </si>
  <si>
    <t>J+53</t>
  </si>
  <si>
    <t>J+54</t>
  </si>
  <si>
    <t>J+55</t>
  </si>
  <si>
    <t>J+56</t>
  </si>
  <si>
    <t>J+57</t>
  </si>
  <si>
    <t>J+58</t>
  </si>
  <si>
    <t>J+59</t>
  </si>
  <si>
    <t>J+60</t>
  </si>
  <si>
    <t>J+61</t>
  </si>
  <si>
    <t>J+62</t>
  </si>
  <si>
    <t>J+63</t>
  </si>
  <si>
    <t>J+64</t>
  </si>
  <si>
    <t>J+65</t>
  </si>
  <si>
    <t>J+66</t>
  </si>
  <si>
    <t>J+67</t>
  </si>
  <si>
    <t>Pprim</t>
  </si>
  <si>
    <t>PWNom</t>
  </si>
  <si>
    <t>PHzStr</t>
  </si>
  <si>
    <t>PHzStop</t>
  </si>
  <si>
    <t>VArCtlVol_VArTm</t>
  </si>
  <si>
    <t>QVArMod</t>
  </si>
  <si>
    <t>VArCtlVol_Volref</t>
  </si>
  <si>
    <t>VArCtlVol_VArGra</t>
  </si>
  <si>
    <t>VArCtlVol_VArMax</t>
  </si>
  <si>
    <t>Reactive Power Mode</t>
  </si>
  <si>
    <t>0: Power factor</t>
  </si>
  <si>
    <t>QVArNom</t>
  </si>
  <si>
    <t>DGSMod</t>
  </si>
  <si>
    <t>DGSArGraNom</t>
  </si>
  <si>
    <t>KPLL1</t>
  </si>
  <si>
    <t>PLLFlag</t>
  </si>
  <si>
    <t>KPPLL2</t>
  </si>
  <si>
    <t>KIPLL2</t>
  </si>
  <si>
    <t>Reserved</t>
  </si>
  <si>
    <t>GenTrpFlag</t>
  </si>
  <si>
    <t>DGSqRcvrTm</t>
  </si>
  <si>
    <t>DGSNqRcvrTm</t>
  </si>
  <si>
    <t>WGra</t>
  </si>
  <si>
    <t>VArGra</t>
  </si>
  <si>
    <t>DGSArGraNomHi</t>
  </si>
  <si>
    <t>DbVolNomMax</t>
  </si>
  <si>
    <t>DbVolNomMin</t>
  </si>
  <si>
    <t>VolCtlCharEna</t>
  </si>
  <si>
    <t>VolCtlCorTm</t>
  </si>
  <si>
    <t>VArCmdFltTm</t>
  </si>
  <si>
    <t>Dynamic Grid Support Mode</t>
  </si>
  <si>
    <t>2: "DGS full" ("SDLWindV")</t>
  </si>
  <si>
    <t>1: "DGS full" ("BDEW")</t>
  </si>
  <si>
    <t>0: overexcited</t>
  </si>
  <si>
    <t>1: underexcited</t>
  </si>
  <si>
    <t>0.8 … 1</t>
  </si>
  <si>
    <t>0 ... 1</t>
  </si>
  <si>
    <t>0 … 1</t>
  </si>
  <si>
    <t>0: deactivated</t>
  </si>
  <si>
    <t>0 … 5</t>
  </si>
  <si>
    <t>2 … 60</t>
  </si>
  <si>
    <t>0.8 … 1.2</t>
  </si>
  <si>
    <t xml:space="preserve">0 … 0.2 </t>
  </si>
  <si>
    <t>0 … 25</t>
  </si>
  <si>
    <t>0 … 0.66</t>
  </si>
  <si>
    <t>2 … 10</t>
  </si>
  <si>
    <t>0 or 1</t>
  </si>
  <si>
    <t>-1 … 0</t>
  </si>
  <si>
    <t>0 … 10</t>
  </si>
  <si>
    <t>0 … 0.1</t>
  </si>
  <si>
    <t>Mbase</t>
  </si>
  <si>
    <t>MVA</t>
  </si>
  <si>
    <t>Initialisation</t>
  </si>
  <si>
    <t>MW</t>
  </si>
  <si>
    <t>Mvar</t>
  </si>
  <si>
    <t>WCtlHzMod</t>
  </si>
  <si>
    <t>HzCtlhhLim</t>
  </si>
  <si>
    <t>HzCtlhhLimTm</t>
  </si>
  <si>
    <t>HzCtlhLim</t>
  </si>
  <si>
    <t>HzCtlhLimTm</t>
  </si>
  <si>
    <t>HzCtllLim</t>
  </si>
  <si>
    <t>HzCtllLimTm</t>
  </si>
  <si>
    <t>HzCtlllLim</t>
  </si>
  <si>
    <t>HzCtlllLimTm</t>
  </si>
  <si>
    <t>HzCtllllLim</t>
  </si>
  <si>
    <t>HzCtllllLimTm</t>
  </si>
  <si>
    <t>VCtlMax</t>
  </si>
  <si>
    <t>VCtlMaxTm</t>
  </si>
  <si>
    <t>VCtlhhLim</t>
  </si>
  <si>
    <t>VCtlhhLimTm</t>
  </si>
  <si>
    <t>VCtlhLim</t>
  </si>
  <si>
    <t>VCtlhLimTm</t>
  </si>
  <si>
    <t>VCtllLim</t>
  </si>
  <si>
    <t>VCtllLimTm</t>
  </si>
  <si>
    <t xml:space="preserve">VCtlllLim </t>
  </si>
  <si>
    <t>VCtlllLimTm</t>
  </si>
  <si>
    <t>VCtlMin</t>
  </si>
  <si>
    <t>VCtlMinTm</t>
  </si>
  <si>
    <t>Not inside inverter (represents solar irradiation)</t>
  </si>
  <si>
    <t>Comments</t>
  </si>
  <si>
    <t>Has 1 decimal; only up to 2 recommended</t>
  </si>
  <si>
    <t>HzCtlMax</t>
  </si>
  <si>
    <t>HzCtlMaxTm</t>
  </si>
  <si>
    <t>PFPFExtStr</t>
  </si>
  <si>
    <t>PFPFStr</t>
  </si>
  <si>
    <t>PFWStr</t>
  </si>
  <si>
    <t>PFPFExtStop</t>
  </si>
  <si>
    <t>PFPFStop</t>
  </si>
  <si>
    <t>PFWStop</t>
  </si>
  <si>
    <t>PWGra</t>
  </si>
  <si>
    <t>VArCtlVol_VolDB</t>
  </si>
  <si>
    <t>PFPFExt</t>
  </si>
  <si>
    <t>PFPF</t>
  </si>
  <si>
    <t>-0.6 … 0.6</t>
  </si>
  <si>
    <t>0: "DGS limited"</t>
  </si>
  <si>
    <t>DGSArGraNomLo</t>
  </si>
  <si>
    <t>FRTThrshld2</t>
  </si>
  <si>
    <t>FRTThrshld1</t>
  </si>
  <si>
    <t>Upper threshold for FRT detection; set slightly higher than FRTThrshld1</t>
  </si>
  <si>
    <t>Lower threshold for FRT detection; set FRTThrshld1 so that is it well above the voltage during the fault</t>
  </si>
  <si>
    <t>0 … 1+ DbVolNomMin</t>
  </si>
  <si>
    <t>VolCtlCharTm</t>
  </si>
  <si>
    <t>Function not used (VolCtlCharEna = deactivated)</t>
  </si>
  <si>
    <t>QVarMod to be set to  Q set-point;  PPC will send Q-setpoints</t>
  </si>
  <si>
    <t>Typically the PPC sends P-setpoints</t>
  </si>
  <si>
    <t>J+68</t>
  </si>
  <si>
    <t>Typically deactivated</t>
  </si>
  <si>
    <t>Keep default setting; Not inside Inverter Software</t>
  </si>
  <si>
    <t>FRTSwOffTm</t>
  </si>
  <si>
    <t>Value should be determined during studies</t>
  </si>
  <si>
    <t>Keep default settings. Can be changed to improved modelling performance. Not inside Inverter Software</t>
  </si>
  <si>
    <t>Part of WCtlHzMod --&gt; not valid when function deactivated</t>
  </si>
  <si>
    <t>Deadband limits should be 5% wider than the voltage trip limits for the continious operation range (VCtlhLim &amp; VCtllLim)</t>
  </si>
  <si>
    <t>only relevant for DGSMod 1&amp;2; Value tbd during studies</t>
  </si>
  <si>
    <t>only relevant for DGSMod 0; Value tbd during studies</t>
  </si>
  <si>
    <t>Recommended setting (see below) 
Can be changed according actual requirement</t>
  </si>
  <si>
    <t>Function has smoother start/end of reactive current provision during FRT. Gradients up to 2.5 recommended</t>
  </si>
  <si>
    <t>PT</t>
  </si>
  <si>
    <t>QT</t>
  </si>
  <si>
    <t>QB</t>
  </si>
  <si>
    <t>bus voltage</t>
  </si>
  <si>
    <t>kV</t>
  </si>
  <si>
    <t>Not inside Inverter software; Parameters are used inside PSS/e Model to damp reacitve power / voltage spikes due to PSS/e internal mathematical/solver calculations.</t>
  </si>
  <si>
    <t>Part of QVarMod: Power factor --&gt; Not used with PPC</t>
  </si>
  <si>
    <t>Part of QVarMod: Q(U) --&gt; Not used with PPC</t>
  </si>
  <si>
    <t>J+69</t>
  </si>
  <si>
    <t>FRTPreErrVEna</t>
  </si>
  <si>
    <t>FRTPreErrTm</t>
  </si>
  <si>
    <t>J+70</t>
  </si>
  <si>
    <t>Q set-point used since the PPC takes over reactive power control of the plant</t>
  </si>
  <si>
    <t>Part of QVarMod: PowerFactor(P) --&gt; Not used with PPC</t>
  </si>
  <si>
    <t>Gradients can be increased in order to achieve setpoint in time</t>
  </si>
  <si>
    <t>0 … tbd</t>
  </si>
  <si>
    <t>Should not be changed</t>
  </si>
  <si>
    <t>Defines DGS pre-error voltage calculation method.</t>
  </si>
  <si>
    <t>Typically not used in Australia;  could help to prevent voltage hunting at deadband threshold</t>
  </si>
  <si>
    <t>0 … 2</t>
  </si>
  <si>
    <t>see user manual or datasheet Sunny Central x00CP-XT
see also "SMASC_CapabilityCurve.xlsx" within PSSe zipf file</t>
  </si>
  <si>
    <t>standard range of SC CP-XT series is -0.435 to +0.435; can be extended on request
QVarMod to be set to  Q set-point;  PPC will send Q-setpoints</t>
  </si>
  <si>
    <t>standard range of SC CP-XT series is -0.9 to +0.9; can be extended on request
Part of QVarMod: Power factor --&gt; Not used with PPC</t>
  </si>
  <si>
    <t>This function can be done inside each inverter or within the PPC on a plant level. Default is "deactivated", since it is recommend to control this via PPC</t>
  </si>
  <si>
    <t>The settings represent the SC CP-XT series inverters maximum capability (see also user manual "SCCPXT-BA-E7-en-55.pdf" chapgter 10.5.2.2 &amp; 10.5.2.4) and work as a starting point for the simulation and should be adjusted according the requirements. Please contact SMA, if maximum capability range is not sufficient to meet requirement.</t>
  </si>
  <si>
    <t>CtlMod</t>
  </si>
  <si>
    <t>KP_PF</t>
  </si>
  <si>
    <t>KI_PF</t>
  </si>
  <si>
    <t>PFXdcrTm</t>
  </si>
  <si>
    <t>PFDB</t>
  </si>
  <si>
    <t>KP_Vol</t>
  </si>
  <si>
    <t>KI_Vol</t>
  </si>
  <si>
    <t>VolXdcrTm</t>
  </si>
  <si>
    <t>VolDB</t>
  </si>
  <si>
    <t>PFNomTot</t>
  </si>
  <si>
    <t>VolNomTot</t>
  </si>
  <si>
    <t>QNomTot</t>
  </si>
  <si>
    <t>VolDroop</t>
  </si>
  <si>
    <t>HybCtlTun</t>
  </si>
  <si>
    <t>KP_P</t>
  </si>
  <si>
    <t>KI_P</t>
  </si>
  <si>
    <t>PXdcrTm</t>
  </si>
  <si>
    <t>PDB</t>
  </si>
  <si>
    <t>PNomTot</t>
  </si>
  <si>
    <t>QcommTm</t>
  </si>
  <si>
    <t>0.01 … 100</t>
  </si>
  <si>
    <t>Power factor deadband</t>
  </si>
  <si>
    <t>Voltage PI controller integral gain</t>
  </si>
  <si>
    <t>Voltage transducer time delay in s</t>
  </si>
  <si>
    <t>Voltage deadband</t>
  </si>
  <si>
    <t>Remote bus voltage set-point in p.u.</t>
  </si>
  <si>
    <t>Droop of voltage droop control in %</t>
  </si>
  <si>
    <t>0.1 … 50</t>
  </si>
  <si>
    <t>Hybrid control tuning parameter</t>
  </si>
  <si>
    <t>0 … -1</t>
  </si>
  <si>
    <t>Active power deadband</t>
  </si>
  <si>
    <t>Plant active power set-point</t>
  </si>
  <si>
    <t>PcommTm</t>
  </si>
  <si>
    <t>PFLim</t>
  </si>
  <si>
    <t>Inverter power factor limit in p.u.</t>
  </si>
  <si>
    <t>FRTThrhLo1</t>
  </si>
  <si>
    <t>FRTThrhLo2</t>
  </si>
  <si>
    <t>FRTThrhHi1</t>
  </si>
  <si>
    <t>1 … 2</t>
  </si>
  <si>
    <t>FRTThrhHi2</t>
  </si>
  <si>
    <t>FRTHldTm</t>
  </si>
  <si>
    <t>0 … 60</t>
  </si>
  <si>
    <t>Do not change this parameter</t>
  </si>
  <si>
    <t>0: Power factor control</t>
  </si>
  <si>
    <t>1: Remote bus voltage control</t>
  </si>
  <si>
    <t>2: Voltage droop control</t>
  </si>
  <si>
    <t>3: Hybrid (V/Q) control</t>
  </si>
  <si>
    <t>Power factor PI controller integral gain</t>
  </si>
  <si>
    <t>Power factor transducer time delay in s</t>
  </si>
  <si>
    <t>Voltage PI controller proportional gain</t>
  </si>
  <si>
    <t>Power factor PI controller proportional gain</t>
  </si>
  <si>
    <t>Reactive Power Control Mode</t>
  </si>
  <si>
    <t>Hybrid control reactive power set-point in p.u.</t>
  </si>
  <si>
    <t>Active power PI controller proportional gain</t>
  </si>
  <si>
    <t>Active power PI controller integral gain</t>
  </si>
  <si>
    <t>Active/reactive power transducer time delay in s</t>
  </si>
  <si>
    <t>PPC-to-inverter communication time delay for reactive power command in s</t>
  </si>
  <si>
    <t>PPC-to-inverter communication time delay for active power command in s</t>
  </si>
  <si>
    <t>Voltage limit for detecting undervoltage conditions</t>
  </si>
  <si>
    <t>Voltage limit for detecting end of undervoltage conditions</t>
  </si>
  <si>
    <t>Voltage limit for detecting overvoltage conditions</t>
  </si>
  <si>
    <t>Voltage limit for detecting end of overvoltage conditions</t>
  </si>
  <si>
    <t>During this time after fault recovery the plant controller model is stopped</t>
  </si>
  <si>
    <t>Recommended</t>
  </si>
  <si>
    <t>-0.7208 … 0.7208</t>
  </si>
  <si>
    <t>Plant power factor angle set-point defined as PFNomTot = -atan2(Q,P)</t>
  </si>
  <si>
    <r>
      <t xml:space="preserve">PSSE Model </t>
    </r>
    <r>
      <rPr>
        <b/>
        <sz val="11"/>
        <color rgb="FFFF0000"/>
        <rFont val="Calibri"/>
        <family val="2"/>
        <scheme val="minor"/>
      </rPr>
      <t>C1.24</t>
    </r>
    <r>
      <rPr>
        <b/>
        <sz val="11"/>
        <color theme="1"/>
        <rFont val="Calibri"/>
        <family val="2"/>
        <scheme val="minor"/>
      </rPr>
      <t xml:space="preserve"> - For use with PPC Model</t>
    </r>
  </si>
  <si>
    <t>DbVolNomMaxH</t>
  </si>
  <si>
    <t>DbVolNomMinH</t>
  </si>
  <si>
    <t>J+71</t>
  </si>
  <si>
    <t>J+72</t>
  </si>
  <si>
    <t>Imported Raw file</t>
  </si>
  <si>
    <t>Import</t>
  </si>
  <si>
    <t>Export</t>
  </si>
  <si>
    <t>0.1 … 1</t>
  </si>
  <si>
    <t>J+73</t>
  </si>
  <si>
    <t>reactive power capability of the device; reactive power is calculated from PFLim by sin(acos(PFLim))</t>
  </si>
  <si>
    <t>"-sin(acos(PFLim))
…sin(acos(PFLim))"</t>
  </si>
  <si>
    <t>Required per NER S5.2.5.11</t>
  </si>
  <si>
    <t>see NER S5.2.5.11 &amp; S5.2.5.3</t>
  </si>
  <si>
    <t>not defined in NER; value to be defined during study</t>
  </si>
  <si>
    <t>at least 20%/Hz ramp down</t>
  </si>
  <si>
    <t>"DGS full" ("SDLWindV") is highly recommended as it provides smooth entry/exit of dead band and therefore avoids voltage hunting</t>
  </si>
  <si>
    <t xml:space="preserve"> Gradients up to 2.5 recommended; NER S5.2.5.5 asks for 4, which is permitted, but system stability should be verified</t>
  </si>
  <si>
    <t>Should be slightly higher than continious voltage range</t>
  </si>
  <si>
    <t>Should be slightly lower than continious voltage range</t>
  </si>
  <si>
    <t>only relevant for DGSMod 1&amp;2; value to be defined during study</t>
  </si>
  <si>
    <t>only relevant for DGSMod 0; Typically not used in Australia</t>
  </si>
  <si>
    <t>set to 0 for DGSMod 2</t>
  </si>
  <si>
    <t>Should be set to 0 (disabled); This is not a parameter of the inverter. This is only to damp voltage spikes originating for the mathematical solver in PSSe;</t>
  </si>
  <si>
    <t>Typically disabled; not required</t>
  </si>
  <si>
    <t>Function not used (VolCtlCharEna = disabled)</t>
  </si>
  <si>
    <t>As per NER S5.2.5.3</t>
  </si>
  <si>
    <t>Typically PF control is used in MV grids and droop or voltage control is used in HV grids. Remote bus voltage control only works in networks with higher impedances, otherwise the plant wont be able to control the voltage. Voltage droop control can be used in networks with low impedances . Hybrid control can be useful in networks with pre-existing voltage controllers.</t>
  </si>
  <si>
    <t>Apply delay of selected power quality meter</t>
  </si>
  <si>
    <t>Should be same as inverter setting</t>
  </si>
  <si>
    <r>
      <t xml:space="preserve">PPC PSSE Model </t>
    </r>
    <r>
      <rPr>
        <b/>
        <sz val="11"/>
        <color rgb="FFFF0000"/>
        <rFont val="Calibri"/>
        <family val="2"/>
        <scheme val="minor"/>
      </rPr>
      <t>B18</t>
    </r>
  </si>
  <si>
    <t>J+74</t>
  </si>
  <si>
    <t>J+75</t>
  </si>
  <si>
    <t>QoDEna</t>
  </si>
  <si>
    <t>QodQMax</t>
  </si>
  <si>
    <t>Q on Demand enable</t>
  </si>
  <si>
    <t>Reactive power limit for QoD</t>
  </si>
  <si>
    <t>0: deactivated
1: activated</t>
  </si>
  <si>
    <t>0… 1</t>
  </si>
  <si>
    <t>Typically not required in Australia</t>
  </si>
  <si>
    <t>SC2x00 max capability</t>
  </si>
  <si>
    <t>NER S5.2.5.3</t>
  </si>
  <si>
    <t>Limited cooling;
SC2x00 is capable
 to ride through
 with eventually
 reduced output</t>
  </si>
  <si>
    <t>NER S5.1.a.4</t>
  </si>
  <si>
    <t>pay attention on last value formula!!</t>
  </si>
  <si>
    <t>FRT deadband</t>
  </si>
  <si>
    <t>FRT hystersis</t>
  </si>
  <si>
    <t>Proposed Setting</t>
  </si>
  <si>
    <t>see P/Q Diagram within document 
"160620_Technical Information SC2200(US)_V3.0.pdf" or 
"160601_Technical Information SC2500-EV(-US)_V1.0.pdf"</t>
  </si>
  <si>
    <t>0 … 1.5</t>
  </si>
  <si>
    <t>Actual settings shall be determined through simulation, inverter's FRT settings should be reviewed</t>
  </si>
  <si>
    <t>Customer Setting
(Export)</t>
  </si>
  <si>
    <t>Imported settings
(Import)</t>
  </si>
  <si>
    <t>80400 'USRMDL' 1 'SMAPPC18' 4 0 4 28 9 21 80100 54040 1 0_x000D_
  2 0 5 0.04 0 0 5 0.04 0_x000D_
  0 1 0 20 -0.17_x000D_
  0 5 0.04 0 1 0.2 0.2_x000D_
  0.8 0.8 0.82 1.2 1.18 0.2 1/</t>
  </si>
  <si>
    <t>Tuning tip:
Initially, the proportional gain of the PI controller should be set to 0. Tune the controller by increasing the integral gain until the desired response is reached and verify at each step that your control scheme is stable.
Typically, proportional gain is not needed to meet requirements.. Please consult SMA, if your simulation requires proportional gain.</t>
  </si>
  <si>
    <r>
      <t xml:space="preserve">PSSE Model </t>
    </r>
    <r>
      <rPr>
        <b/>
        <sz val="11"/>
        <color rgb="FFFF0000"/>
        <rFont val="Calibri"/>
        <family val="2"/>
        <scheme val="minor"/>
      </rPr>
      <t>C1.31</t>
    </r>
    <r>
      <rPr>
        <b/>
        <sz val="11"/>
        <color theme="1"/>
        <rFont val="Calibri"/>
        <family val="2"/>
        <scheme val="minor"/>
      </rPr>
      <t xml:space="preserve"> - For use with PPC Model</t>
    </r>
  </si>
  <si>
    <t>1 … 1.4</t>
  </si>
  <si>
    <t>1 … 1.3</t>
  </si>
  <si>
    <t>1 … 1.2</t>
  </si>
  <si>
    <t>0 … 3</t>
  </si>
  <si>
    <t>As per NER S5.2.5.4
(please note different HVRT and LVRT ranges 
for SC2x00 and SC xxxCP-XT generation)</t>
  </si>
  <si>
    <t>0.4 … 1</t>
  </si>
  <si>
    <t>0 … 1.2</t>
  </si>
  <si>
    <t>0 … 5 (up to 11, see graph)</t>
  </si>
  <si>
    <t>50 … 55</t>
  </si>
  <si>
    <t>0 …. 60</t>
  </si>
  <si>
    <t>50 … 53</t>
  </si>
  <si>
    <t>0 … 600</t>
  </si>
  <si>
    <t>47 … 50</t>
  </si>
  <si>
    <t>45 … 50</t>
  </si>
  <si>
    <t>Gradients are based on usage with PPC</t>
  </si>
  <si>
    <t>Not used in Australia</t>
  </si>
  <si>
    <t>Keep default settings. Can be changed to improved PLL and modelling performance in PSSE; not part of the inverter parameters</t>
  </si>
  <si>
    <t>Set to 1 to trip generator (e.g. protection settings)</t>
  </si>
  <si>
    <t>Should be set to 0</t>
  </si>
  <si>
    <t>Can be set to 1 to log model information</t>
  </si>
  <si>
    <t>not used for SC2x00 or SDLWindV; use same value as  DbVolNomMin; (recommend to use for SCxxxCP-XT inverters with DGSMod 1 or 2)</t>
  </si>
  <si>
    <t>#Sunny Central PSCAD configuration file</t>
  </si>
  <si>
    <t>Version</t>
  </si>
  <si>
    <t>#General</t>
  </si>
  <si>
    <t>#VARtg</t>
  </si>
  <si>
    <t>#WRtg</t>
  </si>
  <si>
    <t>#VArRtg</t>
  </si>
  <si>
    <t>HzRtg</t>
  </si>
  <si>
    <t>PhsAng</t>
  </si>
  <si>
    <t># Inverter control mode</t>
  </si>
  <si>
    <t># INVCTLMOD_GRIFEED_MPP</t>
  </si>
  <si>
    <t>: Grid tie MPP Tracking mode</t>
  </si>
  <si>
    <t># INVCTLMOD_GRIFEED_DCLVOLCNST</t>
  </si>
  <si>
    <t>: Grid tie constant DC Link voltage</t>
  </si>
  <si>
    <t># INVCTLMOD_VLOOP</t>
  </si>
  <si>
    <t>: Stand alone AC voltage controlled mode</t>
  </si>
  <si>
    <t>InvCtlMod</t>
  </si>
  <si>
    <t>INVCTLMOD_GRIFEED_MPP</t>
  </si>
  <si>
    <t>Frt_Mod</t>
  </si>
  <si>
    <t># FRT deadband</t>
  </si>
  <si>
    <t>Frt_HiDb</t>
  </si>
  <si>
    <t>Frt_LoDb</t>
  </si>
  <si>
    <t># the "k"- factors</t>
  </si>
  <si>
    <t>Frt_HiGra3</t>
  </si>
  <si>
    <t>Frt_HiGra2</t>
  </si>
  <si>
    <t>Frt_HiGra1</t>
  </si>
  <si>
    <t>Frt_LoGra1</t>
  </si>
  <si>
    <t>Frt_LoGra2</t>
  </si>
  <si>
    <t>Frt_LoGra3</t>
  </si>
  <si>
    <t># FRT curve reference voltages</t>
  </si>
  <si>
    <t>Frt_HiVolRef3</t>
  </si>
  <si>
    <t>Frt_HiVolRef2</t>
  </si>
  <si>
    <t>Frt_HiVolRef1</t>
  </si>
  <si>
    <t>Frt_LoVolRef1</t>
  </si>
  <si>
    <t>Frt_LoVolRef2</t>
  </si>
  <si>
    <t>Frt_LoVolRef3</t>
  </si>
  <si>
    <t># Active current gradient after voltage recovery</t>
  </si>
  <si>
    <t>Frt_AmpDGra</t>
  </si>
  <si>
    <t>PSSE PT1-Element --&gt; 3 x PT1 = 95% value</t>
  </si>
  <si>
    <t># Filter time constant for reactive current and reference voltage averaging</t>
  </si>
  <si>
    <t># Pls set to 1 sec for simulation of FRT</t>
  </si>
  <si>
    <t>Frt_AmpQFilTm</t>
  </si>
  <si>
    <t>Only 1s for convenient PSCAD simulation. Default in inverter FW is 60s.</t>
  </si>
  <si>
    <t>Frt_VolDFilTm</t>
  </si>
  <si>
    <t># Blocking firing pulses during voltage recovery</t>
  </si>
  <si>
    <t># protection against DC link overvoltage</t>
  </si>
  <si>
    <t>FrtPro_BlkPwmTm</t>
  </si>
  <si>
    <t>inverter default 1 cycle (6kHz sampling)</t>
  </si>
  <si>
    <t>FrtPro_VolGra</t>
  </si>
  <si>
    <t>inverter default 0.45</t>
  </si>
  <si>
    <t># External reactive power setpoint handling</t>
  </si>
  <si>
    <t>Not part of inverter FW??</t>
  </si>
  <si>
    <t xml:space="preserve"># VAR_MOD_NONE  </t>
  </si>
  <si>
    <t>: no external reactive power setpoint</t>
  </si>
  <si>
    <t># VAR_MOD_CNST</t>
  </si>
  <si>
    <t>: external reactive power setpoint</t>
  </si>
  <si>
    <t xml:space="preserve"># VAR_MOD_PF_CNST   </t>
  </si>
  <si>
    <t>: external powerfactor setpoint</t>
  </si>
  <si>
    <t>VArOpMod</t>
  </si>
  <si>
    <t>VAR_MOD_PF_CNST</t>
  </si>
  <si>
    <t>WGraMod</t>
  </si>
  <si>
    <t>Inverter Default: SWITCH_STT_ENABLE instead of 0</t>
  </si>
  <si>
    <t>VArGraMod</t>
  </si>
  <si>
    <t># Reactive power as a function of voltage    (GRIMNG_INVVARMOD_OFF ; GRIMNG_INVVARMOD_VARCTLVOL)</t>
  </si>
  <si>
    <t>GriMng_InvVArMod</t>
  </si>
  <si>
    <t>GRIMNG_INVVARMOD_OFF</t>
  </si>
  <si>
    <t>Below only applicable whenGriMng_InvVArMod = VArCtlVol or VArCtlVolPi</t>
  </si>
  <si>
    <t>VArCtlVol_VArSptFilTm</t>
  </si>
  <si>
    <t>VArCtlVol_HiGra3</t>
  </si>
  <si>
    <t>VArCtlVol_HiGra2</t>
  </si>
  <si>
    <t>VArCtlVol_HiGra1</t>
  </si>
  <si>
    <t>VArCtlVol_LoGra1</t>
  </si>
  <si>
    <t>VArCtlVol_LoGra2</t>
  </si>
  <si>
    <t>VArCtlVol_LoGra3</t>
  </si>
  <si>
    <t>VArCtlVol_HiVolRef3</t>
  </si>
  <si>
    <t>VArCtlVol_HiVolRef2</t>
  </si>
  <si>
    <t>VArCtlVol_LoVolRef1HiVolRef1</t>
  </si>
  <si>
    <t>Looks like a bug inside the original PSCAD file</t>
  </si>
  <si>
    <t>VArCtlVol_LoVolRef2</t>
  </si>
  <si>
    <t>VArCtlVol_LoVolRef3</t>
  </si>
  <si>
    <t># CorrTm: correction of the internal delay of the measurement algorithms</t>
  </si>
  <si>
    <t xml:space="preserve"># all VCtl_ and HzCtl_ times are corrected by the given time. </t>
  </si>
  <si>
    <t># Set to 0 if you want the inverter to stay connected and trip after the time (e.g. BDEW)</t>
  </si>
  <si>
    <t># set to negative values if you want the the inverter to trip before the given time (e.g. UL1741)</t>
  </si>
  <si>
    <t>VCtl_CorrTm</t>
  </si>
  <si>
    <t>PSCAD default -33 (which is used for UL only)</t>
  </si>
  <si>
    <t>HzCtl_CorrTm</t>
  </si>
  <si>
    <t>PSCAD default -55 (which is used for UL only)</t>
  </si>
  <si>
    <t>HzCtl_OpMaxNom</t>
  </si>
  <si>
    <t>Same as continious range</t>
  </si>
  <si>
    <t>HzCtl_OpMinNom</t>
  </si>
  <si>
    <t># over voltage trip limits  VCtl_Hi[1..5]Lim in p.u.</t>
  </si>
  <si>
    <t>VCtl_Hi1Lim</t>
  </si>
  <si>
    <t>VCtl_Hi2Lim</t>
  </si>
  <si>
    <t>VCtl_Hi3Lim</t>
  </si>
  <si>
    <t>VCtl_Hi4Lim</t>
  </si>
  <si>
    <t># over voltage trip limit times VCtl_Hi[1..5]LimTm in ms</t>
  </si>
  <si>
    <t>VCtl_Hi1LimTm</t>
  </si>
  <si>
    <t>VCtl_Hi2LimTm</t>
  </si>
  <si>
    <t>VCtl_Hi3LimTm</t>
  </si>
  <si>
    <t>VCtl_Hi4LimTm</t>
  </si>
  <si>
    <t># under voltage trip limits  VCtl_Lo[1..5]Lim in p.u.</t>
  </si>
  <si>
    <t>VCtl_Lo1Lim</t>
  </si>
  <si>
    <t>VCtl_Lo2Lim</t>
  </si>
  <si>
    <t>VCtl_Lo3Lim</t>
  </si>
  <si>
    <t>VCtl_Lo4Lim</t>
  </si>
  <si>
    <t># under voltage trip limit times VCtl_Lo[1..5]LimTm in ms</t>
  </si>
  <si>
    <t>VCtl_Lo1LimTm</t>
  </si>
  <si>
    <t>VCtl_Lo2LimTm</t>
  </si>
  <si>
    <t>VCtl_Lo3LimTm</t>
  </si>
  <si>
    <t>VCtl_Lo4LimTm</t>
  </si>
  <si>
    <t># over frequency trip limits  HzCtl_Hi[1..6]Lim in Hz</t>
  </si>
  <si>
    <t>HzCtl_Hi1Lim</t>
  </si>
  <si>
    <t>HzCtl_Hi2Lim</t>
  </si>
  <si>
    <t>HzCtl_Hi3Lim</t>
  </si>
  <si>
    <t># over frequency trip limit times HzCtl_Hi[1..5]LimTm in ms</t>
  </si>
  <si>
    <t>HzCtl_Hi1LimTm</t>
  </si>
  <si>
    <t>HzCtl_Hi2LimTm</t>
  </si>
  <si>
    <t>HzCtl_Hi3LimTm</t>
  </si>
  <si>
    <t># under frequency trip limits  HzCtl_Lo[1..6]Lim in Hz</t>
  </si>
  <si>
    <t>HzCtl_Lo1Lim</t>
  </si>
  <si>
    <t>HzCtl_Lo2Lim</t>
  </si>
  <si>
    <t>HzCtl_Lo3Lim</t>
  </si>
  <si>
    <t>HzCtl_Lo4Lim</t>
  </si>
  <si>
    <t># under frequency trip limit times HzCtl_Lo[1..5]LimTm in ms</t>
  </si>
  <si>
    <t>HzCtl_Lo1LimTm</t>
  </si>
  <si>
    <t>HzCtl_Lo2LimTm</t>
  </si>
  <si>
    <t>HzCtl_Lo3LimTm</t>
  </si>
  <si>
    <t>HzCtl_Lo4LimTm</t>
  </si>
  <si>
    <t># instantaneous voltage protection in p.u.</t>
  </si>
  <si>
    <t>VCtl_PkLim</t>
  </si>
  <si>
    <t>Not inside PSSE (value confirmed by Daniel Greger)</t>
  </si>
  <si>
    <t># instantaneous voltage protection time in 6kHz steps: e.g. 6 = 1ms</t>
  </si>
  <si>
    <t>VCtl_PkLimTm</t>
  </si>
  <si>
    <t>Not inside PSSE</t>
  </si>
  <si>
    <t>ActDmp_Kdmp</t>
  </si>
  <si>
    <t>Inverter default is 0.6???</t>
  </si>
  <si>
    <t>#End of Sunny Central PSCAD configuration file</t>
  </si>
  <si>
    <t>General comment: P(f) function is missing here. Probably not simulated in PSCAD though</t>
  </si>
  <si>
    <t>Customer Setting (Export)</t>
  </si>
  <si>
    <t>Customer Settings</t>
  </si>
  <si>
    <t>Recommended Setting</t>
  </si>
  <si>
    <t>Imported Setting</t>
  </si>
  <si>
    <t>Recommended Settings</t>
  </si>
  <si>
    <t>Customer's  Settings</t>
  </si>
  <si>
    <t>Imported Settings</t>
  </si>
  <si>
    <t>100 'USRMDL' 1 'SMASC131' 1 1 0 76 15 193_x000D_
  1 1 0 0.8 1 1 1 0 0.3_x000D_
  1 0 5 0.5 2_x000D_
  0 0.9 0.5 1 0.9 0.9_x000D_
  1 0.5 0.05 0.2_x000D_
  1 2 2 2 2.5 2.5 0.25 0.25 0.25 0.25 0.03 0.03_x000D_
  0.01 0 20 0 0 0 0 0.15 0.1_x000D_
  1.32 0 1.22 0.5 1.12 1 0.88 10.5 0.78 2.1 0.68 0.5_x000D_
  52 0 51 120 50.5 600 49.5 600 49 120 47 0_x000D_
  30 1 10 30 0 0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</si>
</sst>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SC&quot;0"/>
  </numFmts>
  <fonts count="13">
    <font>
      <sz val="11"/>
      <color theme="1"/>
      <name val="Calibri"/>
      <family val="2"/>
      <scheme val="minor"/>
    </font>
    <font>
      <b/>
      <sz val="11"/>
      <color theme="1"/>
      <name val="Calibri"/>
      <family val="2"/>
      <scheme val="minor"/>
    </font>
    <font>
      <b/>
      <sz val="11"/>
      <color rgb="FFFF0000"/>
      <name val="Calibri"/>
      <family val="2"/>
      <scheme val="minor"/>
    </font>
    <font>
      <sz val="11"/>
      <name val="Calibri"/>
      <family val="2"/>
      <scheme val="minor"/>
    </font>
    <font>
      <sz val="11"/>
      <color theme="1"/>
      <name val="SMA Futura Global"/>
      <family val="2"/>
    </font>
    <font>
      <sz val="12"/>
      <color theme="1"/>
      <name val="Times New Roman"/>
      <family val="1"/>
    </font>
    <font>
      <sz val="11"/>
      <color rgb="FF000000"/>
      <name val="Calibri"/>
      <family val="2"/>
    </font>
    <font>
      <sz val="11"/>
      <color rgb="FFFF0000"/>
      <name val="Calibri"/>
      <family val="2"/>
      <scheme val="minor"/>
    </font>
    <font>
      <sz val="11"/>
      <name val="Arial"/>
      <family val="2"/>
    </font>
    <font>
      <i/>
      <sz val="11"/>
      <color rgb="FFFF0000"/>
      <name val="Calibri"/>
      <family val="2"/>
      <scheme val="minor"/>
    </font>
    <font>
      <b/>
      <sz val="11"/>
      <color theme="1"/>
      <name val="SMA Futura Global"/>
      <family val="2"/>
    </font>
    <font>
      <b/>
      <sz val="14"/>
      <color rgb="FF000000"/>
      <name val="Calibri"/>
      <family val="2"/>
    </font>
    <font>
      <b/>
      <sz val="12"/>
      <color rgb="FF000000"/>
      <name val="Calibri"/>
      <family val="2"/>
    </font>
  </fonts>
  <fills count="21">
    <fill>
      <patternFill patternType="none"/>
    </fill>
    <fill>
      <patternFill patternType="gray125"/>
    </fill>
    <fill>
      <patternFill patternType="solid">
        <fgColor theme="4" tint="0.59999389629810485"/>
        <bgColor indexed="64"/>
      </patternFill>
    </fill>
    <fill>
      <patternFill patternType="solid">
        <fgColor theme="5"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2" tint="-9.9978637043366805E-2"/>
        <bgColor indexed="64"/>
      </patternFill>
    </fill>
    <fill>
      <patternFill patternType="solid">
        <fgColor theme="7" tint="0.39997558519241921"/>
        <bgColor indexed="64"/>
      </patternFill>
    </fill>
    <fill>
      <patternFill patternType="lightUp">
        <fgColor theme="5" tint="-0.24994659260841701"/>
        <bgColor theme="7" tint="0.39994506668294322"/>
      </patternFill>
    </fill>
    <fill>
      <patternFill patternType="solid">
        <fgColor rgb="FFFFC00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7" tint="0.79998168889431442"/>
        <bgColor indexed="64"/>
      </patternFill>
    </fill>
    <fill>
      <patternFill patternType="solid">
        <fgColor theme="7"/>
        <bgColor indexed="64"/>
      </patternFill>
    </fill>
    <fill>
      <patternFill patternType="solid">
        <fgColor rgb="FF00B050"/>
        <bgColor indexed="64"/>
      </patternFill>
    </fill>
    <fill>
      <patternFill patternType="solid">
        <fgColor theme="5" tint="0.79998168889431442"/>
        <bgColor indexed="64"/>
      </patternFill>
    </fill>
    <fill>
      <patternFill patternType="solid">
        <fgColor rgb="FF00B0F0"/>
        <bgColor indexed="64"/>
      </patternFill>
    </fill>
    <fill>
      <patternFill patternType="solid">
        <fgColor theme="7" tint="-0.249977111117893"/>
        <bgColor indexed="64"/>
      </patternFill>
    </fill>
    <fill>
      <patternFill patternType="solid">
        <fgColor rgb="FFFFCC66"/>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s>
  <cellStyleXfs count="1">
    <xf numFmtId="0" fontId="0" fillId="0" borderId="0"/>
  </cellStyleXfs>
  <cellXfs count="352">
    <xf numFmtId="0" fontId="0" fillId="0" borderId="0" xfId="0"/>
    <xf numFmtId="49" fontId="0" fillId="0" borderId="0" xfId="0" applyNumberFormat="1"/>
    <xf numFmtId="0" fontId="0" fillId="0" borderId="1" xfId="0" applyBorder="1"/>
    <xf numFmtId="49" fontId="0" fillId="0" borderId="1" xfId="0" applyNumberFormat="1" applyBorder="1"/>
    <xf numFmtId="0" fontId="0" fillId="7" borderId="1" xfId="0" applyFill="1" applyBorder="1"/>
    <xf numFmtId="0" fontId="0" fillId="6" borderId="1" xfId="0" applyFill="1" applyBorder="1"/>
    <xf numFmtId="49" fontId="0" fillId="6" borderId="1" xfId="0" applyNumberFormat="1" applyFill="1" applyBorder="1"/>
    <xf numFmtId="0" fontId="0" fillId="2" borderId="1" xfId="0" applyFill="1" applyBorder="1"/>
    <xf numFmtId="0" fontId="0" fillId="3" borderId="1" xfId="0" applyFill="1" applyBorder="1"/>
    <xf numFmtId="20" fontId="0" fillId="2" borderId="1" xfId="0" applyNumberFormat="1" applyFill="1" applyBorder="1"/>
    <xf numFmtId="49" fontId="0" fillId="2" borderId="1" xfId="0" applyNumberFormat="1" applyFill="1" applyBorder="1"/>
    <xf numFmtId="0" fontId="0" fillId="2" borderId="1" xfId="0" applyFill="1" applyBorder="1" applyAlignment="1">
      <alignment horizontal="right"/>
    </xf>
    <xf numFmtId="49" fontId="0" fillId="3" borderId="1" xfId="0" applyNumberFormat="1" applyFill="1" applyBorder="1"/>
    <xf numFmtId="0" fontId="0" fillId="3" borderId="1" xfId="0" quotePrefix="1" applyFill="1" applyBorder="1"/>
    <xf numFmtId="0" fontId="0" fillId="4" borderId="1" xfId="0" applyFill="1" applyBorder="1"/>
    <xf numFmtId="0" fontId="0" fillId="5" borderId="1" xfId="0" applyFill="1" applyBorder="1"/>
    <xf numFmtId="0" fontId="0" fillId="9" borderId="1" xfId="0" applyFill="1" applyBorder="1"/>
    <xf numFmtId="49" fontId="0" fillId="5" borderId="1" xfId="0" applyNumberFormat="1" applyFill="1" applyBorder="1"/>
    <xf numFmtId="0" fontId="0" fillId="8" borderId="1" xfId="0" applyFill="1" applyBorder="1"/>
    <xf numFmtId="49" fontId="0" fillId="8" borderId="1" xfId="0" applyNumberFormat="1" applyFill="1" applyBorder="1"/>
    <xf numFmtId="0" fontId="0" fillId="10" borderId="1" xfId="0" applyFill="1" applyBorder="1"/>
    <xf numFmtId="49" fontId="0" fillId="10" borderId="1" xfId="0" applyNumberFormat="1" applyFill="1" applyBorder="1"/>
    <xf numFmtId="49" fontId="0" fillId="4" borderId="1" xfId="0" applyNumberFormat="1" applyFill="1" applyBorder="1"/>
    <xf numFmtId="0" fontId="0" fillId="11" borderId="1" xfId="0" applyFill="1" applyBorder="1"/>
    <xf numFmtId="49" fontId="0" fillId="11" borderId="1" xfId="0" applyNumberFormat="1" applyFill="1" applyBorder="1"/>
    <xf numFmtId="0" fontId="0" fillId="12" borderId="1" xfId="0" applyFill="1" applyBorder="1"/>
    <xf numFmtId="49" fontId="0" fillId="12" borderId="1" xfId="0" applyNumberFormat="1" applyFill="1" applyBorder="1"/>
    <xf numFmtId="0" fontId="0" fillId="13" borderId="1" xfId="0" applyFill="1" applyBorder="1"/>
    <xf numFmtId="49" fontId="0" fillId="13" borderId="1" xfId="0" applyNumberFormat="1" applyFill="1" applyBorder="1"/>
    <xf numFmtId="0" fontId="0" fillId="0" borderId="3" xfId="0" applyBorder="1"/>
    <xf numFmtId="49" fontId="0" fillId="0" borderId="3" xfId="0" applyNumberFormat="1" applyBorder="1"/>
    <xf numFmtId="49" fontId="0" fillId="14" borderId="1" xfId="0" applyNumberFormat="1" applyFill="1" applyBorder="1"/>
    <xf numFmtId="0" fontId="0" fillId="14" borderId="1" xfId="0" applyFill="1" applyBorder="1"/>
    <xf numFmtId="0" fontId="0" fillId="12" borderId="5" xfId="0" applyFill="1" applyBorder="1"/>
    <xf numFmtId="49" fontId="0" fillId="12" borderId="5" xfId="0" applyNumberFormat="1" applyFill="1" applyBorder="1"/>
    <xf numFmtId="0" fontId="0" fillId="16" borderId="1" xfId="0" applyFill="1" applyBorder="1"/>
    <xf numFmtId="49" fontId="0" fillId="16" borderId="1" xfId="0" applyNumberFormat="1" applyFill="1" applyBorder="1"/>
    <xf numFmtId="0" fontId="0" fillId="16" borderId="1" xfId="0" quotePrefix="1" applyFill="1" applyBorder="1"/>
    <xf numFmtId="0" fontId="3" fillId="15" borderId="1" xfId="0" applyFont="1" applyFill="1" applyBorder="1"/>
    <xf numFmtId="49" fontId="3" fillId="15" borderId="1" xfId="0" applyNumberFormat="1" applyFont="1" applyFill="1" applyBorder="1"/>
    <xf numFmtId="0" fontId="3" fillId="14" borderId="1" xfId="0" applyFont="1" applyFill="1" applyBorder="1"/>
    <xf numFmtId="49" fontId="3" fillId="14" borderId="1" xfId="0" applyNumberFormat="1" applyFont="1" applyFill="1" applyBorder="1"/>
    <xf numFmtId="0" fontId="1" fillId="0" borderId="5" xfId="0" applyFont="1" applyBorder="1" applyAlignment="1">
      <alignment horizontal="center"/>
    </xf>
    <xf numFmtId="49" fontId="1" fillId="0" borderId="5" xfId="0" applyNumberFormat="1" applyFont="1" applyBorder="1" applyAlignment="1">
      <alignment horizontal="center"/>
    </xf>
    <xf numFmtId="0" fontId="0" fillId="0" borderId="0" xfId="0" applyAlignment="1">
      <alignment horizontal="center"/>
    </xf>
    <xf numFmtId="0" fontId="0" fillId="12" borderId="1" xfId="0" applyFill="1" applyBorder="1" applyAlignment="1">
      <alignment wrapText="1"/>
    </xf>
    <xf numFmtId="0" fontId="0" fillId="0" borderId="2" xfId="0" applyBorder="1" applyAlignment="1">
      <alignment horizontal="right" vertical="center"/>
    </xf>
    <xf numFmtId="49" fontId="0" fillId="0" borderId="2" xfId="0" applyNumberFormat="1" applyBorder="1" applyAlignment="1">
      <alignment horizontal="left" vertical="center"/>
    </xf>
    <xf numFmtId="0" fontId="0" fillId="0" borderId="2" xfId="0" applyBorder="1" applyAlignment="1">
      <alignment horizontal="center"/>
    </xf>
    <xf numFmtId="0" fontId="0" fillId="13" borderId="2" xfId="0" applyFill="1" applyBorder="1" applyAlignment="1">
      <alignment horizontal="left" vertical="center"/>
    </xf>
    <xf numFmtId="0" fontId="0" fillId="3" borderId="1" xfId="0" applyFill="1" applyBorder="1" applyAlignment="1">
      <alignment horizontal="right"/>
    </xf>
    <xf numFmtId="0" fontId="0" fillId="0" borderId="2" xfId="0" applyBorder="1"/>
    <xf numFmtId="0" fontId="1" fillId="0" borderId="1" xfId="0" applyFont="1" applyBorder="1" applyAlignment="1">
      <alignment horizontal="center" vertical="center"/>
    </xf>
    <xf numFmtId="49" fontId="0" fillId="0" borderId="2" xfId="0" applyNumberFormat="1" applyBorder="1"/>
    <xf numFmtId="0" fontId="0" fillId="6" borderId="2" xfId="0" applyFill="1" applyBorder="1" applyAlignment="1">
      <alignment horizontal="left" vertical="center"/>
    </xf>
    <xf numFmtId="0" fontId="0" fillId="0" borderId="2" xfId="0" applyBorder="1" applyAlignment="1">
      <alignment horizontal="left" vertical="center"/>
    </xf>
    <xf numFmtId="49" fontId="0" fillId="12" borderId="1" xfId="0" applyNumberFormat="1" applyFill="1" applyBorder="1" applyAlignment="1">
      <alignment vertical="center"/>
    </xf>
    <xf numFmtId="0" fontId="0" fillId="12" borderId="1" xfId="0" applyFill="1" applyBorder="1" applyAlignment="1">
      <alignment vertical="center"/>
    </xf>
    <xf numFmtId="0" fontId="0" fillId="3" borderId="1" xfId="0" applyFill="1" applyBorder="1" applyAlignment="1">
      <alignment wrapText="1"/>
    </xf>
    <xf numFmtId="0" fontId="4" fillId="0" borderId="1" xfId="0" applyFont="1" applyBorder="1" applyAlignment="1">
      <alignment vertical="center" wrapText="1"/>
    </xf>
    <xf numFmtId="0" fontId="4" fillId="13" borderId="1" xfId="0" applyFont="1" applyFill="1" applyBorder="1" applyAlignment="1">
      <alignment vertical="center" wrapText="1"/>
    </xf>
    <xf numFmtId="0" fontId="4" fillId="17" borderId="1" xfId="0" applyFont="1" applyFill="1" applyBorder="1" applyAlignment="1">
      <alignment vertical="center" wrapText="1"/>
    </xf>
    <xf numFmtId="0" fontId="4" fillId="7" borderId="1" xfId="0" applyFont="1" applyFill="1" applyBorder="1" applyAlignment="1">
      <alignment vertical="center" wrapText="1"/>
    </xf>
    <xf numFmtId="0" fontId="4" fillId="7" borderId="3" xfId="0" applyFont="1" applyFill="1" applyBorder="1" applyAlignment="1">
      <alignment vertical="center" wrapText="1"/>
    </xf>
    <xf numFmtId="0" fontId="4" fillId="6" borderId="1" xfId="0" applyFont="1" applyFill="1" applyBorder="1" applyAlignment="1">
      <alignment vertical="center" wrapText="1"/>
    </xf>
    <xf numFmtId="0" fontId="4" fillId="7" borderId="1" xfId="0" quotePrefix="1" applyFont="1" applyFill="1" applyBorder="1" applyAlignment="1">
      <alignment vertical="center" wrapText="1"/>
    </xf>
    <xf numFmtId="0" fontId="4" fillId="2" borderId="1" xfId="0" applyFont="1" applyFill="1" applyBorder="1" applyAlignment="1">
      <alignment vertical="center" wrapText="1"/>
    </xf>
    <xf numFmtId="0" fontId="4" fillId="18" borderId="1" xfId="0" applyFont="1" applyFill="1" applyBorder="1" applyAlignment="1">
      <alignment vertical="center" wrapText="1"/>
    </xf>
    <xf numFmtId="0" fontId="4" fillId="12" borderId="1" xfId="0" applyFont="1" applyFill="1" applyBorder="1" applyAlignment="1">
      <alignment vertical="center" wrapText="1"/>
    </xf>
    <xf numFmtId="0" fontId="5" fillId="12" borderId="1" xfId="0" applyFont="1" applyFill="1" applyBorder="1" applyAlignment="1">
      <alignment vertical="center" wrapText="1"/>
    </xf>
    <xf numFmtId="49" fontId="3" fillId="15" borderId="7" xfId="0" applyNumberFormat="1" applyFont="1" applyFill="1" applyBorder="1"/>
    <xf numFmtId="49" fontId="3" fillId="14" borderId="5" xfId="0" applyNumberFormat="1" applyFont="1" applyFill="1" applyBorder="1"/>
    <xf numFmtId="0" fontId="0" fillId="0" borderId="8" xfId="0" applyBorder="1"/>
    <xf numFmtId="49" fontId="0" fillId="14" borderId="5" xfId="0" applyNumberFormat="1" applyFill="1" applyBorder="1"/>
    <xf numFmtId="49" fontId="0" fillId="14" borderId="3" xfId="0" applyNumberFormat="1" applyFill="1" applyBorder="1"/>
    <xf numFmtId="49" fontId="0" fillId="11" borderId="7" xfId="0" applyNumberFormat="1" applyFill="1" applyBorder="1"/>
    <xf numFmtId="49" fontId="0" fillId="11" borderId="5" xfId="0" applyNumberFormat="1" applyFill="1" applyBorder="1"/>
    <xf numFmtId="49" fontId="3" fillId="15" borderId="6" xfId="0" applyNumberFormat="1" applyFont="1" applyFill="1" applyBorder="1"/>
    <xf numFmtId="49" fontId="3" fillId="15" borderId="3" xfId="0" applyNumberFormat="1" applyFont="1" applyFill="1" applyBorder="1"/>
    <xf numFmtId="0" fontId="0" fillId="0" borderId="0" xfId="0" applyAlignment="1">
      <alignment vertical="top" wrapText="1"/>
    </xf>
    <xf numFmtId="0" fontId="0" fillId="0" borderId="0" xfId="0" applyAlignment="1">
      <alignment vertical="top"/>
    </xf>
    <xf numFmtId="49" fontId="0" fillId="6" borderId="2" xfId="0" applyNumberFormat="1" applyFill="1" applyBorder="1" applyAlignment="1">
      <alignment horizontal="left" vertical="center"/>
    </xf>
    <xf numFmtId="0" fontId="0" fillId="6" borderId="2" xfId="0" applyFill="1" applyBorder="1" applyAlignment="1">
      <alignment horizontal="center"/>
    </xf>
    <xf numFmtId="0" fontId="0" fillId="13" borderId="1" xfId="0" applyFill="1" applyBorder="1" applyAlignment="1">
      <alignment horizontal="right" vertical="center"/>
    </xf>
    <xf numFmtId="0" fontId="0" fillId="0" borderId="9" xfId="0" applyBorder="1"/>
    <xf numFmtId="0" fontId="0" fillId="3" borderId="1" xfId="0" quotePrefix="1" applyFill="1" applyBorder="1" applyAlignment="1">
      <alignment wrapText="1"/>
    </xf>
    <xf numFmtId="0" fontId="0" fillId="0" borderId="15" xfId="0" applyBorder="1"/>
    <xf numFmtId="0" fontId="0" fillId="12" borderId="13" xfId="0" applyFill="1" applyBorder="1"/>
    <xf numFmtId="0" fontId="0" fillId="0" borderId="14" xfId="0" applyBorder="1"/>
    <xf numFmtId="0" fontId="0" fillId="3" borderId="15" xfId="0" applyFill="1" applyBorder="1"/>
    <xf numFmtId="0" fontId="0" fillId="2" borderId="15" xfId="0" applyFill="1" applyBorder="1"/>
    <xf numFmtId="0" fontId="0" fillId="6" borderId="15" xfId="0" applyFill="1" applyBorder="1"/>
    <xf numFmtId="0" fontId="0" fillId="7" borderId="15" xfId="0" applyFill="1" applyBorder="1"/>
    <xf numFmtId="0" fontId="0" fillId="13" borderId="15" xfId="0" applyFill="1" applyBorder="1"/>
    <xf numFmtId="0" fontId="0" fillId="5" borderId="15" xfId="0" applyFill="1" applyBorder="1"/>
    <xf numFmtId="0" fontId="0" fillId="9" borderId="15" xfId="0" applyFill="1" applyBorder="1"/>
    <xf numFmtId="0" fontId="0" fillId="16" borderId="15" xfId="0" applyFill="1" applyBorder="1"/>
    <xf numFmtId="0" fontId="0" fillId="10" borderId="15" xfId="0" applyFill="1" applyBorder="1"/>
    <xf numFmtId="0" fontId="0" fillId="4" borderId="15" xfId="0" applyFill="1" applyBorder="1"/>
    <xf numFmtId="0" fontId="0" fillId="12" borderId="15" xfId="0" applyFill="1" applyBorder="1"/>
    <xf numFmtId="49" fontId="0" fillId="12" borderId="15" xfId="0" applyNumberFormat="1" applyFill="1" applyBorder="1" applyAlignment="1">
      <alignment vertical="center"/>
    </xf>
    <xf numFmtId="49" fontId="0" fillId="0" borderId="16" xfId="0" applyNumberFormat="1" applyBorder="1" applyAlignment="1">
      <alignment horizontal="left" vertical="center"/>
    </xf>
    <xf numFmtId="49" fontId="3" fillId="15" borderId="15" xfId="0" applyNumberFormat="1" applyFont="1" applyFill="1" applyBorder="1"/>
    <xf numFmtId="49" fontId="0" fillId="14" borderId="15" xfId="0" applyNumberFormat="1" applyFill="1" applyBorder="1"/>
    <xf numFmtId="49" fontId="0" fillId="8" borderId="15" xfId="0" applyNumberFormat="1" applyFill="1" applyBorder="1"/>
    <xf numFmtId="0" fontId="0" fillId="0" borderId="0" xfId="0" applyAlignment="1">
      <alignment horizontal="center" vertical="center" textRotation="90"/>
    </xf>
    <xf numFmtId="0" fontId="0" fillId="13" borderId="1" xfId="0" applyFill="1" applyBorder="1" applyAlignment="1">
      <alignment vertical="center" wrapText="1"/>
    </xf>
    <xf numFmtId="0" fontId="0" fillId="16" borderId="1" xfId="0" applyFill="1" applyBorder="1" applyAlignment="1">
      <alignment vertical="center" wrapText="1"/>
    </xf>
    <xf numFmtId="0" fontId="0" fillId="12" borderId="2" xfId="0" applyFill="1" applyBorder="1" applyAlignment="1">
      <alignment vertical="center" wrapText="1"/>
    </xf>
    <xf numFmtId="0" fontId="0" fillId="12" borderId="1" xfId="0" applyFill="1" applyBorder="1" applyAlignment="1">
      <alignment horizontal="right" vertical="center"/>
    </xf>
    <xf numFmtId="0" fontId="0" fillId="7" borderId="1" xfId="0" applyFill="1" applyBorder="1" applyAlignment="1">
      <alignment horizontal="right" vertical="center"/>
    </xf>
    <xf numFmtId="0" fontId="0" fillId="6" borderId="1" xfId="0" applyFill="1" applyBorder="1" applyAlignment="1">
      <alignment horizontal="right" vertical="center"/>
    </xf>
    <xf numFmtId="0" fontId="0" fillId="17" borderId="1" xfId="0" applyFill="1" applyBorder="1" applyAlignment="1">
      <alignment horizontal="right" vertical="center"/>
    </xf>
    <xf numFmtId="0" fontId="0" fillId="0" borderId="1" xfId="0" applyBorder="1" applyAlignment="1">
      <alignment horizontal="right" vertical="center"/>
    </xf>
    <xf numFmtId="0" fontId="0" fillId="18" borderId="1" xfId="0" applyFill="1" applyBorder="1" applyAlignment="1">
      <alignment horizontal="right" vertical="center"/>
    </xf>
    <xf numFmtId="0" fontId="4" fillId="7" borderId="15" xfId="0" applyFont="1" applyFill="1" applyBorder="1" applyAlignment="1">
      <alignment vertical="center" wrapText="1"/>
    </xf>
    <xf numFmtId="0" fontId="4" fillId="6" borderId="15" xfId="0" applyFont="1" applyFill="1" applyBorder="1" applyAlignment="1">
      <alignment vertical="center" wrapText="1"/>
    </xf>
    <xf numFmtId="0" fontId="4" fillId="2" borderId="15" xfId="0" applyFont="1" applyFill="1" applyBorder="1" applyAlignment="1">
      <alignment vertical="center" wrapText="1"/>
    </xf>
    <xf numFmtId="0" fontId="4" fillId="17" borderId="15" xfId="0" applyFont="1" applyFill="1" applyBorder="1" applyAlignment="1">
      <alignment vertical="center" wrapText="1"/>
    </xf>
    <xf numFmtId="0" fontId="4" fillId="13" borderId="15" xfId="0" applyFont="1" applyFill="1" applyBorder="1" applyAlignment="1">
      <alignment vertical="center" wrapText="1"/>
    </xf>
    <xf numFmtId="0" fontId="4" fillId="0" borderId="15" xfId="0" applyFont="1" applyBorder="1" applyAlignment="1">
      <alignment vertical="center" wrapText="1"/>
    </xf>
    <xf numFmtId="0" fontId="4" fillId="18" borderId="15" xfId="0" applyFont="1" applyFill="1" applyBorder="1" applyAlignment="1">
      <alignment vertical="center" wrapText="1"/>
    </xf>
    <xf numFmtId="0" fontId="4" fillId="12" borderId="15" xfId="0" applyFont="1" applyFill="1" applyBorder="1" applyAlignment="1">
      <alignment vertical="center" wrapText="1"/>
    </xf>
    <xf numFmtId="0" fontId="7" fillId="6" borderId="0" xfId="0" applyFont="1" applyFill="1"/>
    <xf numFmtId="0" fontId="0" fillId="2" borderId="1" xfId="0" applyFill="1" applyBorder="1" applyAlignment="1">
      <alignment horizontal="left" vertical="center"/>
    </xf>
    <xf numFmtId="0" fontId="0" fillId="2" borderId="1" xfId="0" applyFill="1" applyBorder="1" applyAlignment="1">
      <alignment horizontal="right" vertical="center"/>
    </xf>
    <xf numFmtId="0" fontId="0" fillId="13" borderId="1" xfId="0" applyFill="1" applyBorder="1" applyAlignment="1">
      <alignment horizontal="left" vertical="center"/>
    </xf>
    <xf numFmtId="0" fontId="0" fillId="19" borderId="15" xfId="0" applyFill="1" applyBorder="1" applyAlignment="1">
      <alignment horizontal="left" vertical="center"/>
    </xf>
    <xf numFmtId="49" fontId="0" fillId="19" borderId="1" xfId="0" applyNumberFormat="1" applyFill="1" applyBorder="1" applyAlignment="1">
      <alignment horizontal="left" vertical="center"/>
    </xf>
    <xf numFmtId="0" fontId="0" fillId="19" borderId="1" xfId="0" applyFill="1" applyBorder="1" applyAlignment="1">
      <alignment horizontal="left" vertical="center"/>
    </xf>
    <xf numFmtId="0" fontId="0" fillId="19" borderId="1" xfId="0" applyFill="1" applyBorder="1" applyAlignment="1">
      <alignment horizontal="left" vertical="center" wrapText="1"/>
    </xf>
    <xf numFmtId="0" fontId="0" fillId="0" borderId="1" xfId="0" applyBorder="1" applyAlignment="1">
      <alignment horizontal="left" vertical="center"/>
    </xf>
    <xf numFmtId="0" fontId="0" fillId="7" borderId="1" xfId="0" applyFill="1" applyBorder="1" applyAlignment="1">
      <alignment horizontal="left" vertical="center"/>
    </xf>
    <xf numFmtId="0" fontId="0" fillId="6" borderId="1" xfId="0" applyFill="1" applyBorder="1" applyAlignment="1">
      <alignment horizontal="left" vertical="center"/>
    </xf>
    <xf numFmtId="0" fontId="0" fillId="17" borderId="1" xfId="0" applyFill="1" applyBorder="1" applyAlignment="1">
      <alignment horizontal="left" vertical="center"/>
    </xf>
    <xf numFmtId="0" fontId="0" fillId="18" borderId="1" xfId="0" applyFill="1" applyBorder="1" applyAlignment="1">
      <alignment horizontal="left" vertical="center"/>
    </xf>
    <xf numFmtId="0" fontId="0" fillId="12" borderId="1" xfId="0" applyFill="1" applyBorder="1" applyAlignment="1">
      <alignment horizontal="left" vertical="center"/>
    </xf>
    <xf numFmtId="0" fontId="0" fillId="0" borderId="0" xfId="0" applyAlignment="1">
      <alignment horizontal="left" vertical="center"/>
    </xf>
    <xf numFmtId="0" fontId="4" fillId="7" borderId="1" xfId="0" applyFont="1" applyFill="1" applyBorder="1" applyAlignment="1">
      <alignment horizontal="right" vertical="center" wrapText="1"/>
    </xf>
    <xf numFmtId="0" fontId="4" fillId="6" borderId="1" xfId="0" applyFont="1" applyFill="1" applyBorder="1" applyAlignment="1">
      <alignment horizontal="right" vertical="center" wrapText="1"/>
    </xf>
    <xf numFmtId="0" fontId="4" fillId="2" borderId="1" xfId="0" applyFont="1" applyFill="1" applyBorder="1" applyAlignment="1">
      <alignment horizontal="right" vertical="center" wrapText="1"/>
    </xf>
    <xf numFmtId="0" fontId="4" fillId="17" borderId="1" xfId="0" applyFont="1" applyFill="1" applyBorder="1" applyAlignment="1">
      <alignment horizontal="right" vertical="center" wrapText="1"/>
    </xf>
    <xf numFmtId="0" fontId="4" fillId="13" borderId="1" xfId="0" applyFont="1" applyFill="1" applyBorder="1" applyAlignment="1">
      <alignment horizontal="right" vertical="center" wrapText="1"/>
    </xf>
    <xf numFmtId="0" fontId="4" fillId="0" borderId="1" xfId="0" applyFont="1" applyBorder="1" applyAlignment="1">
      <alignment horizontal="right" vertical="center" wrapText="1"/>
    </xf>
    <xf numFmtId="0" fontId="4" fillId="18" borderId="1" xfId="0" applyFont="1" applyFill="1" applyBorder="1" applyAlignment="1">
      <alignment horizontal="right" vertical="center" wrapText="1"/>
    </xf>
    <xf numFmtId="0" fontId="4" fillId="12" borderId="1" xfId="0" applyFont="1" applyFill="1" applyBorder="1" applyAlignment="1">
      <alignment horizontal="right" vertical="center" wrapText="1"/>
    </xf>
    <xf numFmtId="0" fontId="0" fillId="0" borderId="0" xfId="0" applyAlignment="1">
      <alignment horizontal="right" vertical="center"/>
    </xf>
    <xf numFmtId="2" fontId="0" fillId="3" borderId="1" xfId="0" applyNumberFormat="1" applyFill="1" applyBorder="1" applyAlignment="1">
      <alignment horizontal="right"/>
    </xf>
    <xf numFmtId="2" fontId="0" fillId="2" borderId="1" xfId="0" applyNumberFormat="1" applyFill="1" applyBorder="1" applyAlignment="1">
      <alignment horizontal="right"/>
    </xf>
    <xf numFmtId="2" fontId="0" fillId="19" borderId="1" xfId="0" applyNumberFormat="1" applyFill="1" applyBorder="1" applyAlignment="1">
      <alignment horizontal="right" vertical="center"/>
    </xf>
    <xf numFmtId="2" fontId="0" fillId="0" borderId="2" xfId="0" applyNumberFormat="1" applyBorder="1" applyAlignment="1">
      <alignment horizontal="right" vertical="center"/>
    </xf>
    <xf numFmtId="2" fontId="0" fillId="11" borderId="1" xfId="0" applyNumberFormat="1" applyFill="1" applyBorder="1" applyAlignment="1">
      <alignment horizontal="right"/>
    </xf>
    <xf numFmtId="2" fontId="0" fillId="14" borderId="1" xfId="0" applyNumberFormat="1" applyFill="1" applyBorder="1" applyAlignment="1">
      <alignment horizontal="right"/>
    </xf>
    <xf numFmtId="2" fontId="0" fillId="0" borderId="0" xfId="0" applyNumberFormat="1"/>
    <xf numFmtId="0" fontId="0" fillId="0" borderId="17" xfId="0" applyBorder="1"/>
    <xf numFmtId="0" fontId="0" fillId="0" borderId="18" xfId="0" applyBorder="1"/>
    <xf numFmtId="0" fontId="0" fillId="0" borderId="16" xfId="0" applyBorder="1"/>
    <xf numFmtId="0" fontId="0" fillId="0" borderId="19" xfId="0" applyBorder="1"/>
    <xf numFmtId="0" fontId="0" fillId="0" borderId="20" xfId="0" applyBorder="1"/>
    <xf numFmtId="0" fontId="0" fillId="0" borderId="21" xfId="0" applyBorder="1"/>
    <xf numFmtId="0" fontId="0" fillId="0" borderId="22" xfId="0" applyBorder="1"/>
    <xf numFmtId="2" fontId="0" fillId="0" borderId="3" xfId="0" applyNumberFormat="1" applyBorder="1"/>
    <xf numFmtId="2" fontId="0" fillId="0" borderId="1" xfId="0" applyNumberFormat="1" applyBorder="1"/>
    <xf numFmtId="2" fontId="0" fillId="0" borderId="2" xfId="0" applyNumberFormat="1" applyBorder="1"/>
    <xf numFmtId="2" fontId="0" fillId="12" borderId="5" xfId="0" applyNumberFormat="1" applyFill="1" applyBorder="1"/>
    <xf numFmtId="2" fontId="0" fillId="6" borderId="1" xfId="0" applyNumberFormat="1" applyFill="1" applyBorder="1"/>
    <xf numFmtId="2" fontId="0" fillId="6" borderId="2" xfId="0" applyNumberFormat="1" applyFill="1" applyBorder="1" applyAlignment="1">
      <alignment horizontal="right" vertical="center"/>
    </xf>
    <xf numFmtId="2" fontId="0" fillId="7" borderId="1" xfId="0" applyNumberFormat="1" applyFill="1" applyBorder="1"/>
    <xf numFmtId="2" fontId="0" fillId="13" borderId="1" xfId="0" applyNumberFormat="1" applyFill="1" applyBorder="1"/>
    <xf numFmtId="2" fontId="0" fillId="5" borderId="1" xfId="0" applyNumberFormat="1" applyFill="1" applyBorder="1"/>
    <xf numFmtId="2" fontId="0" fillId="9" borderId="1" xfId="0" applyNumberFormat="1" applyFill="1" applyBorder="1"/>
    <xf numFmtId="2" fontId="0" fillId="16" borderId="1" xfId="0" applyNumberFormat="1" applyFill="1" applyBorder="1"/>
    <xf numFmtId="2" fontId="0" fillId="10" borderId="1" xfId="0" applyNumberFormat="1" applyFill="1" applyBorder="1"/>
    <xf numFmtId="2" fontId="0" fillId="4" borderId="1" xfId="0" applyNumberFormat="1" applyFill="1" applyBorder="1"/>
    <xf numFmtId="2" fontId="0" fillId="12" borderId="1" xfId="0" applyNumberFormat="1" applyFill="1" applyBorder="1"/>
    <xf numFmtId="2" fontId="0" fillId="12" borderId="1" xfId="0" applyNumberFormat="1" applyFill="1" applyBorder="1" applyAlignment="1">
      <alignment vertical="center"/>
    </xf>
    <xf numFmtId="2" fontId="3" fillId="15" borderId="1" xfId="0" applyNumberFormat="1" applyFont="1" applyFill="1" applyBorder="1"/>
    <xf numFmtId="2" fontId="0" fillId="14" borderId="1" xfId="0" applyNumberFormat="1" applyFill="1" applyBorder="1"/>
    <xf numFmtId="2" fontId="0" fillId="8" borderId="1" xfId="0" applyNumberFormat="1" applyFill="1" applyBorder="1"/>
    <xf numFmtId="0" fontId="0" fillId="0" borderId="17" xfId="0" applyBorder="1" applyAlignment="1">
      <alignment wrapText="1"/>
    </xf>
    <xf numFmtId="0" fontId="1" fillId="0" borderId="1" xfId="0" applyFont="1" applyBorder="1" applyAlignment="1">
      <alignment horizontal="center"/>
    </xf>
    <xf numFmtId="0" fontId="0" fillId="0" borderId="3" xfId="0" applyBorder="1" applyAlignment="1">
      <alignment horizontal="right"/>
    </xf>
    <xf numFmtId="0" fontId="0" fillId="0" borderId="1" xfId="0" applyBorder="1" applyAlignment="1">
      <alignment horizontal="right"/>
    </xf>
    <xf numFmtId="0" fontId="0" fillId="0" borderId="2" xfId="0" applyBorder="1" applyAlignment="1">
      <alignment horizontal="right"/>
    </xf>
    <xf numFmtId="0" fontId="0" fillId="12" borderId="5" xfId="0" applyFill="1" applyBorder="1" applyAlignment="1">
      <alignment horizontal="right"/>
    </xf>
    <xf numFmtId="0" fontId="0" fillId="19" borderId="1" xfId="0" applyFill="1" applyBorder="1" applyAlignment="1">
      <alignment horizontal="right" vertical="center"/>
    </xf>
    <xf numFmtId="0" fontId="0" fillId="6" borderId="1" xfId="0" applyFill="1" applyBorder="1" applyAlignment="1">
      <alignment horizontal="right"/>
    </xf>
    <xf numFmtId="0" fontId="0" fillId="7" borderId="1" xfId="0" applyFill="1" applyBorder="1" applyAlignment="1">
      <alignment horizontal="right"/>
    </xf>
    <xf numFmtId="0" fontId="8" fillId="13" borderId="1" xfId="0" applyFont="1" applyFill="1" applyBorder="1" applyAlignment="1">
      <alignment horizontal="right"/>
    </xf>
    <xf numFmtId="0" fontId="0" fillId="5" borderId="1" xfId="0" applyFill="1" applyBorder="1" applyAlignment="1">
      <alignment horizontal="right"/>
    </xf>
    <xf numFmtId="0" fontId="0" fillId="9" borderId="1" xfId="0" applyFill="1" applyBorder="1" applyAlignment="1">
      <alignment horizontal="right"/>
    </xf>
    <xf numFmtId="0" fontId="0" fillId="16" borderId="1" xfId="0" applyFill="1" applyBorder="1" applyAlignment="1">
      <alignment horizontal="right"/>
    </xf>
    <xf numFmtId="0" fontId="0" fillId="10" borderId="1" xfId="0" applyFill="1" applyBorder="1" applyAlignment="1">
      <alignment horizontal="right"/>
    </xf>
    <xf numFmtId="0" fontId="0" fillId="4" borderId="1" xfId="0" applyFill="1" applyBorder="1" applyAlignment="1">
      <alignment horizontal="right"/>
    </xf>
    <xf numFmtId="0" fontId="0" fillId="12" borderId="1" xfId="0" applyFill="1" applyBorder="1" applyAlignment="1">
      <alignment horizontal="right"/>
    </xf>
    <xf numFmtId="0" fontId="3" fillId="15" borderId="1" xfId="0" applyFont="1" applyFill="1" applyBorder="1" applyAlignment="1">
      <alignment horizontal="right"/>
    </xf>
    <xf numFmtId="0" fontId="0" fillId="11" borderId="1" xfId="0" applyFill="1" applyBorder="1" applyAlignment="1">
      <alignment horizontal="right"/>
    </xf>
    <xf numFmtId="0" fontId="0" fillId="14" borderId="1" xfId="0" applyFill="1" applyBorder="1" applyAlignment="1">
      <alignment horizontal="right"/>
    </xf>
    <xf numFmtId="0" fontId="0" fillId="8" borderId="1" xfId="0" applyFill="1" applyBorder="1" applyAlignment="1">
      <alignment horizontal="right"/>
    </xf>
    <xf numFmtId="0" fontId="0" fillId="13" borderId="1" xfId="0" applyFill="1" applyBorder="1" applyAlignment="1">
      <alignment horizontal="right"/>
    </xf>
    <xf numFmtId="0" fontId="0" fillId="0" borderId="0" xfId="0" applyAlignment="1">
      <alignment vertical="center" textRotation="90"/>
    </xf>
    <xf numFmtId="0" fontId="0" fillId="0" borderId="24" xfId="0" applyBorder="1" applyAlignment="1">
      <alignment vertical="top" wrapText="1"/>
    </xf>
    <xf numFmtId="0" fontId="0" fillId="0" borderId="24" xfId="0" applyBorder="1"/>
    <xf numFmtId="0" fontId="0" fillId="0" borderId="25" xfId="0" applyBorder="1" applyAlignment="1">
      <alignment vertical="top" wrapText="1"/>
    </xf>
    <xf numFmtId="0" fontId="0" fillId="0" borderId="23" xfId="0" applyBorder="1" applyAlignment="1">
      <alignment vertical="center" textRotation="90"/>
    </xf>
    <xf numFmtId="0" fontId="0" fillId="0" borderId="26" xfId="0" applyBorder="1"/>
    <xf numFmtId="0" fontId="0" fillId="0" borderId="27" xfId="0" applyBorder="1"/>
    <xf numFmtId="0" fontId="1" fillId="0" borderId="9" xfId="0" applyFont="1" applyBorder="1"/>
    <xf numFmtId="0" fontId="0" fillId="0" borderId="0" xfId="0" applyAlignment="1">
      <alignment horizontal="center" vertical="top"/>
    </xf>
    <xf numFmtId="0" fontId="1" fillId="0" borderId="5" xfId="0" applyFont="1" applyBorder="1" applyAlignment="1">
      <alignment horizontal="center" vertical="top"/>
    </xf>
    <xf numFmtId="49" fontId="1" fillId="0" borderId="5" xfId="0" applyNumberFormat="1" applyFont="1" applyBorder="1" applyAlignment="1">
      <alignment horizontal="center" vertical="top"/>
    </xf>
    <xf numFmtId="0" fontId="1" fillId="0" borderId="5" xfId="0" applyFont="1" applyBorder="1" applyAlignment="1">
      <alignment horizontal="center" vertical="top" wrapText="1"/>
    </xf>
    <xf numFmtId="0" fontId="3" fillId="15" borderId="1" xfId="0" quotePrefix="1" applyFont="1" applyFill="1" applyBorder="1" applyAlignment="1">
      <alignment horizontal="left"/>
    </xf>
    <xf numFmtId="0" fontId="0" fillId="12" borderId="1" xfId="0" applyFill="1" applyBorder="1" applyAlignment="1">
      <alignment vertical="center" wrapText="1"/>
    </xf>
    <xf numFmtId="0" fontId="0" fillId="8" borderId="1" xfId="0" applyFill="1" applyBorder="1" applyAlignment="1">
      <alignment horizontal="left"/>
    </xf>
    <xf numFmtId="0" fontId="0" fillId="6" borderId="2" xfId="0" applyFill="1" applyBorder="1" applyAlignment="1">
      <alignment horizontal="right" vertical="center"/>
    </xf>
    <xf numFmtId="0" fontId="0" fillId="0" borderId="0" xfId="0" applyAlignment="1">
      <alignment horizontal="left"/>
    </xf>
    <xf numFmtId="0" fontId="9" fillId="0" borderId="0" xfId="0" applyFont="1" applyAlignment="1">
      <alignment horizontal="left"/>
    </xf>
    <xf numFmtId="164" fontId="0" fillId="0" borderId="0" xfId="0" applyNumberFormat="1" applyAlignment="1">
      <alignment horizontal="left"/>
    </xf>
    <xf numFmtId="0" fontId="0" fillId="13" borderId="0" xfId="0" applyFill="1" applyAlignment="1">
      <alignment horizontal="left"/>
    </xf>
    <xf numFmtId="0" fontId="1" fillId="0" borderId="5" xfId="0" applyFont="1" applyBorder="1" applyAlignment="1">
      <alignment horizontal="left"/>
    </xf>
    <xf numFmtId="0" fontId="0" fillId="0" borderId="0" xfId="0" applyProtection="1">
      <protection locked="0"/>
    </xf>
    <xf numFmtId="0" fontId="0" fillId="20" borderId="0" xfId="0" applyFill="1"/>
    <xf numFmtId="0" fontId="0" fillId="7" borderId="0" xfId="0" applyFill="1"/>
    <xf numFmtId="0" fontId="0" fillId="0" borderId="17" xfId="0" applyBorder="1" applyAlignment="1">
      <alignment vertical="top" wrapText="1"/>
    </xf>
    <xf numFmtId="2" fontId="0" fillId="0" borderId="22" xfId="0" applyNumberFormat="1" applyBorder="1"/>
    <xf numFmtId="2" fontId="0" fillId="0" borderId="18" xfId="0" applyNumberFormat="1" applyBorder="1"/>
    <xf numFmtId="2" fontId="0" fillId="0" borderId="14" xfId="0" applyNumberFormat="1" applyBorder="1"/>
    <xf numFmtId="2" fontId="0" fillId="0" borderId="20" xfId="0" applyNumberFormat="1" applyBorder="1"/>
    <xf numFmtId="0" fontId="1" fillId="0" borderId="0" xfId="0" applyFont="1"/>
    <xf numFmtId="0" fontId="0" fillId="0" borderId="9" xfId="0" applyBorder="1" applyAlignment="1">
      <alignment horizontal="center" vertical="center" textRotation="90"/>
    </xf>
    <xf numFmtId="0" fontId="0" fillId="0" borderId="0" xfId="0" applyAlignment="1">
      <alignment horizontal="center" vertical="center" textRotation="90"/>
    </xf>
    <xf numFmtId="0" fontId="0" fillId="0" borderId="8" xfId="0" applyBorder="1" applyAlignment="1">
      <alignment horizontal="center" vertical="center" textRotation="90"/>
    </xf>
    <xf numFmtId="0" fontId="0" fillId="12" borderId="2" xfId="0" applyFill="1" applyBorder="1" applyAlignment="1">
      <alignment horizontal="left" vertical="center" wrapText="1"/>
    </xf>
    <xf numFmtId="0" fontId="0" fillId="12" borderId="3" xfId="0" applyFill="1" applyBorder="1" applyAlignment="1">
      <alignment horizontal="left" vertical="center"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horizontal="left" vertical="center" wrapText="1"/>
    </xf>
    <xf numFmtId="0" fontId="0" fillId="0" borderId="4" xfId="0" applyBorder="1" applyAlignment="1">
      <alignment horizontal="left" vertical="center" wrapText="1"/>
    </xf>
    <xf numFmtId="0" fontId="0" fillId="0" borderId="3" xfId="0" applyBorder="1" applyAlignment="1">
      <alignment horizontal="left" vertical="center" wrapText="1"/>
    </xf>
    <xf numFmtId="0" fontId="0" fillId="12" borderId="4" xfId="0" applyFill="1" applyBorder="1" applyAlignment="1">
      <alignment horizontal="left" vertical="center" wrapText="1"/>
    </xf>
    <xf numFmtId="0" fontId="0" fillId="9" borderId="2" xfId="0" applyFill="1" applyBorder="1" applyAlignment="1">
      <alignment horizontal="left" vertical="center" wrapText="1"/>
    </xf>
    <xf numFmtId="0" fontId="0" fillId="9" borderId="3" xfId="0" applyFill="1" applyBorder="1" applyAlignment="1">
      <alignment horizontal="left" vertical="center" wrapText="1"/>
    </xf>
    <xf numFmtId="0" fontId="0" fillId="16" borderId="2" xfId="0" applyFill="1" applyBorder="1" applyAlignment="1">
      <alignment horizontal="left" vertical="center" wrapText="1"/>
    </xf>
    <xf numFmtId="0" fontId="0" fillId="16" borderId="3" xfId="0" applyFill="1" applyBorder="1" applyAlignment="1">
      <alignment horizontal="left" vertical="center" wrapText="1"/>
    </xf>
    <xf numFmtId="0" fontId="0" fillId="0" borderId="3" xfId="0" applyBorder="1" applyAlignment="1">
      <alignment horizontal="left" vertical="center"/>
    </xf>
    <xf numFmtId="0" fontId="0" fillId="0" borderId="2" xfId="0" applyBorder="1" applyAlignment="1">
      <alignment horizontal="right" vertical="center"/>
    </xf>
    <xf numFmtId="0" fontId="0" fillId="0" borderId="3" xfId="0" applyBorder="1" applyAlignment="1">
      <alignment horizontal="right" vertical="center"/>
    </xf>
    <xf numFmtId="0" fontId="0" fillId="13" borderId="2" xfId="0" applyFill="1" applyBorder="1" applyAlignment="1">
      <alignment horizontal="left" vertical="center" wrapText="1"/>
    </xf>
    <xf numFmtId="0" fontId="0" fillId="13" borderId="3" xfId="0" applyFill="1" applyBorder="1" applyAlignment="1">
      <alignment horizontal="left" vertical="center" wrapText="1"/>
    </xf>
    <xf numFmtId="0" fontId="0" fillId="13" borderId="4" xfId="0" applyFill="1" applyBorder="1" applyAlignment="1">
      <alignment horizontal="left" vertical="center" wrapText="1"/>
    </xf>
    <xf numFmtId="0" fontId="0" fillId="16" borderId="1" xfId="0" applyFill="1" applyBorder="1" applyAlignment="1">
      <alignment horizontal="left" vertical="center"/>
    </xf>
    <xf numFmtId="49" fontId="0" fillId="16" borderId="1" xfId="0" applyNumberFormat="1" applyFill="1" applyBorder="1" applyAlignment="1">
      <alignment horizontal="left" vertical="center"/>
    </xf>
    <xf numFmtId="0" fontId="0" fillId="9" borderId="2" xfId="0" applyFill="1" applyBorder="1" applyAlignment="1">
      <alignment horizontal="right" vertical="center" wrapText="1"/>
    </xf>
    <xf numFmtId="0" fontId="0" fillId="9" borderId="4" xfId="0" applyFill="1" applyBorder="1" applyAlignment="1">
      <alignment horizontal="right" vertical="center" wrapText="1"/>
    </xf>
    <xf numFmtId="0" fontId="0" fillId="9" borderId="3" xfId="0" applyFill="1" applyBorder="1" applyAlignment="1">
      <alignment horizontal="right" vertical="center" wrapText="1"/>
    </xf>
    <xf numFmtId="0" fontId="0" fillId="9" borderId="4" xfId="0" applyFill="1" applyBorder="1" applyAlignment="1">
      <alignment horizontal="left" vertical="center" wrapText="1"/>
    </xf>
    <xf numFmtId="0" fontId="0" fillId="13" borderId="1" xfId="0" applyFill="1" applyBorder="1" applyAlignment="1">
      <alignment horizontal="left" vertical="center"/>
    </xf>
    <xf numFmtId="49" fontId="0" fillId="13" borderId="1" xfId="0" applyNumberFormat="1" applyFill="1" applyBorder="1" applyAlignment="1">
      <alignment horizontal="left" vertical="center"/>
    </xf>
    <xf numFmtId="0" fontId="0" fillId="13" borderId="1" xfId="0" applyFill="1" applyBorder="1" applyAlignment="1">
      <alignment horizontal="right" vertical="center"/>
    </xf>
    <xf numFmtId="0" fontId="0" fillId="7" borderId="2" xfId="0" applyFill="1" applyBorder="1" applyAlignment="1">
      <alignment horizontal="left" vertical="center" wrapText="1"/>
    </xf>
    <xf numFmtId="0" fontId="0" fillId="7" borderId="4" xfId="0" applyFill="1" applyBorder="1" applyAlignment="1">
      <alignment horizontal="left" vertical="center" wrapText="1"/>
    </xf>
    <xf numFmtId="0" fontId="0" fillId="7" borderId="3" xfId="0" applyFill="1" applyBorder="1" applyAlignment="1">
      <alignment horizontal="left" vertical="center" wrapText="1"/>
    </xf>
    <xf numFmtId="0" fontId="0" fillId="7" borderId="2" xfId="0" applyFill="1" applyBorder="1" applyAlignment="1">
      <alignment horizontal="center"/>
    </xf>
    <xf numFmtId="0" fontId="0" fillId="7" borderId="3" xfId="0" applyFill="1" applyBorder="1" applyAlignment="1">
      <alignment horizontal="center"/>
    </xf>
    <xf numFmtId="0" fontId="0" fillId="7" borderId="2" xfId="0" applyFill="1" applyBorder="1" applyAlignment="1">
      <alignment horizontal="right" vertical="center"/>
    </xf>
    <xf numFmtId="0" fontId="0" fillId="7" borderId="3" xfId="0" applyFill="1" applyBorder="1" applyAlignment="1">
      <alignment horizontal="right" vertical="center"/>
    </xf>
    <xf numFmtId="0" fontId="0" fillId="7" borderId="2" xfId="0" applyFill="1" applyBorder="1" applyAlignment="1">
      <alignment horizontal="left" vertical="center"/>
    </xf>
    <xf numFmtId="0" fontId="0" fillId="7" borderId="3" xfId="0" applyFill="1" applyBorder="1" applyAlignment="1">
      <alignment horizontal="left" vertical="center"/>
    </xf>
    <xf numFmtId="0" fontId="0" fillId="6" borderId="2" xfId="0" applyFill="1" applyBorder="1" applyAlignment="1">
      <alignment horizontal="left" vertical="center" wrapText="1"/>
    </xf>
    <xf numFmtId="0" fontId="0" fillId="6" borderId="4" xfId="0" applyFill="1" applyBorder="1" applyAlignment="1">
      <alignment horizontal="left" vertical="center" wrapText="1"/>
    </xf>
    <xf numFmtId="0" fontId="0" fillId="6" borderId="3" xfId="0" applyFill="1" applyBorder="1" applyAlignment="1">
      <alignment horizontal="left" vertical="center" wrapText="1"/>
    </xf>
    <xf numFmtId="0" fontId="0" fillId="6" borderId="2" xfId="0" applyFill="1" applyBorder="1" applyAlignment="1">
      <alignment horizontal="left" vertical="center"/>
    </xf>
    <xf numFmtId="0" fontId="0" fillId="6" borderId="3" xfId="0" applyFill="1" applyBorder="1" applyAlignment="1">
      <alignment horizontal="left" vertical="center"/>
    </xf>
    <xf numFmtId="49" fontId="0" fillId="6" borderId="2" xfId="0" applyNumberFormat="1" applyFill="1" applyBorder="1" applyAlignment="1">
      <alignment horizontal="left" vertical="center"/>
    </xf>
    <xf numFmtId="49" fontId="0" fillId="6" borderId="3" xfId="0" applyNumberFormat="1" applyFill="1" applyBorder="1" applyAlignment="1">
      <alignment horizontal="left" vertical="center"/>
    </xf>
    <xf numFmtId="0" fontId="0" fillId="6" borderId="2" xfId="0" applyFill="1" applyBorder="1" applyAlignment="1">
      <alignment horizontal="center"/>
    </xf>
    <xf numFmtId="0" fontId="0" fillId="6" borderId="3" xfId="0" applyFill="1" applyBorder="1" applyAlignment="1">
      <alignment horizontal="center"/>
    </xf>
    <xf numFmtId="0" fontId="0" fillId="6" borderId="2" xfId="0" applyFill="1" applyBorder="1" applyAlignment="1">
      <alignment horizontal="right" vertical="center"/>
    </xf>
    <xf numFmtId="0" fontId="0" fillId="6" borderId="3" xfId="0" applyFill="1" applyBorder="1" applyAlignment="1">
      <alignment horizontal="right" vertical="center"/>
    </xf>
    <xf numFmtId="0" fontId="0" fillId="3" borderId="2" xfId="0" applyFill="1" applyBorder="1" applyAlignment="1">
      <alignment horizontal="left" vertical="center" wrapText="1"/>
    </xf>
    <xf numFmtId="0" fontId="0" fillId="3" borderId="4" xfId="0" applyFill="1" applyBorder="1" applyAlignment="1">
      <alignment horizontal="left" vertical="center" wrapText="1"/>
    </xf>
    <xf numFmtId="0" fontId="0" fillId="3" borderId="3" xfId="0" applyFill="1" applyBorder="1" applyAlignment="1">
      <alignment horizontal="left" vertical="center" wrapText="1"/>
    </xf>
    <xf numFmtId="0" fontId="1" fillId="0" borderId="1" xfId="0" applyFont="1" applyBorder="1" applyAlignment="1">
      <alignment horizontal="center"/>
    </xf>
    <xf numFmtId="0" fontId="0" fillId="0" borderId="6" xfId="0" applyBorder="1" applyAlignment="1">
      <alignment horizontal="left" vertical="center" wrapText="1"/>
    </xf>
    <xf numFmtId="0" fontId="0" fillId="2" borderId="2" xfId="0" applyFill="1" applyBorder="1" applyAlignment="1">
      <alignment horizontal="left" vertical="center" wrapText="1"/>
    </xf>
    <xf numFmtId="0" fontId="0" fillId="2" borderId="4" xfId="0" applyFill="1" applyBorder="1" applyAlignment="1">
      <alignment horizontal="left" vertical="center"/>
    </xf>
    <xf numFmtId="0" fontId="0" fillId="2" borderId="3" xfId="0" applyFill="1" applyBorder="1" applyAlignment="1">
      <alignment horizontal="left" vertical="center"/>
    </xf>
    <xf numFmtId="0" fontId="0" fillId="2" borderId="1" xfId="0" applyFill="1" applyBorder="1" applyAlignment="1">
      <alignment horizontal="left" vertical="center"/>
    </xf>
    <xf numFmtId="49" fontId="0" fillId="2" borderId="1" xfId="0" applyNumberFormat="1" applyFill="1" applyBorder="1" applyAlignment="1">
      <alignment horizontal="left" vertical="center"/>
    </xf>
    <xf numFmtId="0" fontId="0" fillId="2" borderId="1" xfId="0" applyFill="1" applyBorder="1" applyAlignment="1">
      <alignment horizontal="right" vertical="center"/>
    </xf>
    <xf numFmtId="0" fontId="0" fillId="0" borderId="1" xfId="0" applyBorder="1" applyAlignment="1">
      <alignment horizontal="left" vertical="center"/>
    </xf>
    <xf numFmtId="49" fontId="0" fillId="0" borderId="1" xfId="0" applyNumberFormat="1" applyBorder="1" applyAlignment="1">
      <alignment horizontal="left" vertical="center"/>
    </xf>
    <xf numFmtId="0" fontId="0" fillId="2" borderId="2" xfId="0" applyFill="1" applyBorder="1" applyAlignment="1">
      <alignment horizontal="right" vertical="center"/>
    </xf>
    <xf numFmtId="0" fontId="0" fillId="2" borderId="4" xfId="0" applyFill="1" applyBorder="1" applyAlignment="1">
      <alignment horizontal="right" vertical="center"/>
    </xf>
    <xf numFmtId="0" fontId="0" fillId="3" borderId="2" xfId="0" applyFill="1" applyBorder="1" applyAlignment="1">
      <alignment horizontal="right" vertical="center"/>
    </xf>
    <xf numFmtId="0" fontId="0" fillId="3" borderId="4" xfId="0" applyFill="1" applyBorder="1" applyAlignment="1">
      <alignment horizontal="right" vertical="center"/>
    </xf>
    <xf numFmtId="0" fontId="0" fillId="3" borderId="3" xfId="0" applyFill="1" applyBorder="1" applyAlignment="1">
      <alignment horizontal="right" vertic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5" xfId="0" applyBorder="1" applyAlignment="1">
      <alignment horizontal="left" vertical="center"/>
    </xf>
    <xf numFmtId="2" fontId="0" fillId="3" borderId="2" xfId="0" applyNumberFormat="1" applyFill="1" applyBorder="1" applyAlignment="1">
      <alignment horizontal="right" vertical="center"/>
    </xf>
    <xf numFmtId="2" fontId="0" fillId="3" borderId="4" xfId="0" applyNumberFormat="1" applyFill="1" applyBorder="1" applyAlignment="1">
      <alignment horizontal="right" vertical="center"/>
    </xf>
    <xf numFmtId="0" fontId="0" fillId="2" borderId="15" xfId="0" applyFill="1" applyBorder="1" applyAlignment="1">
      <alignment horizontal="left" vertical="center"/>
    </xf>
    <xf numFmtId="2" fontId="0" fillId="2" borderId="1" xfId="0" applyNumberFormat="1" applyFill="1" applyBorder="1" applyAlignment="1">
      <alignment horizontal="right" vertical="center"/>
    </xf>
    <xf numFmtId="0" fontId="0" fillId="2" borderId="3" xfId="0" applyFill="1" applyBorder="1" applyAlignment="1">
      <alignment horizontal="right" vertical="center"/>
    </xf>
    <xf numFmtId="0" fontId="0" fillId="13" borderId="15" xfId="0" applyFill="1" applyBorder="1" applyAlignment="1">
      <alignment horizontal="left" vertical="center"/>
    </xf>
    <xf numFmtId="2" fontId="0" fillId="13" borderId="1" xfId="0" applyNumberFormat="1" applyFill="1" applyBorder="1" applyAlignment="1">
      <alignment horizontal="right" vertical="center"/>
    </xf>
    <xf numFmtId="0" fontId="0" fillId="16" borderId="15" xfId="0" applyFill="1" applyBorder="1" applyAlignment="1">
      <alignment horizontal="left" vertical="center"/>
    </xf>
    <xf numFmtId="2" fontId="0" fillId="9" borderId="2" xfId="0" applyNumberFormat="1" applyFill="1" applyBorder="1" applyAlignment="1">
      <alignment horizontal="right" vertical="center" wrapText="1"/>
    </xf>
    <xf numFmtId="2" fontId="0" fillId="9" borderId="4" xfId="0" applyNumberFormat="1" applyFill="1" applyBorder="1" applyAlignment="1">
      <alignment horizontal="right" vertical="center" wrapText="1"/>
    </xf>
    <xf numFmtId="2" fontId="0" fillId="9" borderId="3" xfId="0" applyNumberFormat="1" applyFill="1" applyBorder="1" applyAlignment="1">
      <alignment horizontal="right" vertical="center" wrapText="1"/>
    </xf>
    <xf numFmtId="0" fontId="0" fillId="13" borderId="2" xfId="0" applyFill="1" applyBorder="1" applyAlignment="1">
      <alignment horizontal="right" vertical="center"/>
    </xf>
    <xf numFmtId="0" fontId="0" fillId="13" borderId="3" xfId="0" applyFill="1" applyBorder="1" applyAlignment="1">
      <alignment horizontal="right" vertical="center"/>
    </xf>
    <xf numFmtId="0" fontId="0" fillId="2" borderId="2" xfId="0" applyFill="1" applyBorder="1" applyAlignment="1">
      <alignment horizontal="left" vertical="center"/>
    </xf>
    <xf numFmtId="0" fontId="0" fillId="14" borderId="2" xfId="0" applyFill="1" applyBorder="1" applyAlignment="1">
      <alignment horizontal="center" vertical="center"/>
    </xf>
    <xf numFmtId="0" fontId="0" fillId="14" borderId="4" xfId="0" applyFill="1" applyBorder="1" applyAlignment="1">
      <alignment horizontal="center" vertical="center"/>
    </xf>
    <xf numFmtId="0" fontId="0" fillId="14" borderId="3" xfId="0" applyFill="1" applyBorder="1" applyAlignment="1">
      <alignment horizontal="center" vertical="center"/>
    </xf>
    <xf numFmtId="49" fontId="0" fillId="11" borderId="2" xfId="0" applyNumberFormat="1" applyFill="1" applyBorder="1" applyAlignment="1">
      <alignment horizontal="center" vertical="center" wrapText="1"/>
    </xf>
    <xf numFmtId="49" fontId="0" fillId="11" borderId="4" xfId="0" applyNumberFormat="1" applyFill="1" applyBorder="1" applyAlignment="1">
      <alignment horizontal="center" vertical="center"/>
    </xf>
    <xf numFmtId="49" fontId="0" fillId="11" borderId="3" xfId="0" applyNumberFormat="1" applyFill="1" applyBorder="1" applyAlignment="1">
      <alignment horizontal="center" vertical="center"/>
    </xf>
    <xf numFmtId="0" fontId="8" fillId="13" borderId="1" xfId="0" applyFont="1" applyFill="1" applyBorder="1" applyAlignment="1">
      <alignment horizontal="right" vertical="center"/>
    </xf>
    <xf numFmtId="0" fontId="0" fillId="7" borderId="16" xfId="0" applyFill="1" applyBorder="1" applyAlignment="1">
      <alignment horizontal="left" vertical="center"/>
    </xf>
    <xf numFmtId="0" fontId="0" fillId="7" borderId="14" xfId="0" applyFill="1" applyBorder="1" applyAlignment="1">
      <alignment horizontal="left" vertical="center"/>
    </xf>
    <xf numFmtId="2" fontId="0" fillId="7" borderId="2" xfId="0" applyNumberFormat="1" applyFill="1" applyBorder="1" applyAlignment="1">
      <alignment horizontal="right" vertical="center"/>
    </xf>
    <xf numFmtId="2" fontId="0" fillId="7" borderId="3" xfId="0" applyNumberFormat="1" applyFill="1" applyBorder="1" applyAlignment="1">
      <alignment horizontal="right" vertical="center"/>
    </xf>
    <xf numFmtId="0" fontId="0" fillId="7" borderId="16" xfId="0" applyFill="1" applyBorder="1" applyAlignment="1">
      <alignment horizontal="left" vertical="center" wrapText="1"/>
    </xf>
    <xf numFmtId="0" fontId="0" fillId="7" borderId="14" xfId="0" applyFill="1" applyBorder="1" applyAlignment="1">
      <alignment horizontal="left" vertical="center" wrapText="1"/>
    </xf>
    <xf numFmtId="0" fontId="0" fillId="0" borderId="16" xfId="0" applyBorder="1" applyAlignment="1">
      <alignment horizontal="left" vertical="center"/>
    </xf>
    <xf numFmtId="0" fontId="0" fillId="0" borderId="14" xfId="0" applyBorder="1" applyAlignment="1">
      <alignment horizontal="left" vertical="center"/>
    </xf>
    <xf numFmtId="2" fontId="0" fillId="0" borderId="2" xfId="0" applyNumberFormat="1" applyBorder="1" applyAlignment="1">
      <alignment horizontal="right" vertical="center"/>
    </xf>
    <xf numFmtId="2" fontId="0" fillId="0" borderId="3" xfId="0" applyNumberFormat="1" applyBorder="1" applyAlignment="1">
      <alignment horizontal="right" vertical="center"/>
    </xf>
    <xf numFmtId="0" fontId="4" fillId="17" borderId="3" xfId="0" applyFont="1" applyFill="1" applyBorder="1" applyAlignment="1">
      <alignment vertical="center" wrapText="1"/>
    </xf>
    <xf numFmtId="0" fontId="4" fillId="17" borderId="1" xfId="0" applyFont="1" applyFill="1" applyBorder="1" applyAlignment="1">
      <alignment vertical="center" wrapText="1"/>
    </xf>
    <xf numFmtId="0" fontId="4" fillId="0" borderId="3" xfId="0" applyFont="1" applyBorder="1" applyAlignment="1">
      <alignment horizontal="left" vertical="center" wrapText="1"/>
    </xf>
    <xf numFmtId="0" fontId="4" fillId="0" borderId="1" xfId="0" applyFont="1" applyBorder="1" applyAlignment="1">
      <alignment horizontal="left" vertical="center" wrapText="1"/>
    </xf>
    <xf numFmtId="0" fontId="4" fillId="6" borderId="3" xfId="0" applyFont="1" applyFill="1" applyBorder="1" applyAlignment="1">
      <alignment vertical="center" wrapText="1"/>
    </xf>
    <xf numFmtId="0" fontId="4" fillId="6" borderId="1" xfId="0" applyFont="1" applyFill="1" applyBorder="1" applyAlignment="1">
      <alignment vertical="center" wrapText="1"/>
    </xf>
    <xf numFmtId="0" fontId="4" fillId="0" borderId="14" xfId="0" applyFont="1" applyBorder="1" applyAlignment="1">
      <alignment vertical="center" wrapText="1"/>
    </xf>
    <xf numFmtId="0" fontId="4" fillId="0" borderId="15" xfId="0" applyFont="1" applyBorder="1" applyAlignment="1">
      <alignment vertical="center" wrapText="1"/>
    </xf>
    <xf numFmtId="0" fontId="4" fillId="0" borderId="3" xfId="0" applyFont="1" applyBorder="1" applyAlignment="1">
      <alignment vertical="center" wrapText="1"/>
    </xf>
    <xf numFmtId="0" fontId="4" fillId="0" borderId="1" xfId="0" applyFont="1" applyBorder="1" applyAlignment="1">
      <alignment vertical="center" wrapText="1"/>
    </xf>
    <xf numFmtId="0" fontId="0" fillId="18" borderId="2" xfId="0" applyFill="1" applyBorder="1" applyAlignment="1">
      <alignment horizontal="left" vertical="center" wrapText="1"/>
    </xf>
    <xf numFmtId="0" fontId="0" fillId="18" borderId="4" xfId="0" applyFill="1" applyBorder="1" applyAlignment="1">
      <alignment horizontal="left" vertical="center" wrapText="1"/>
    </xf>
    <xf numFmtId="0" fontId="0" fillId="18" borderId="3" xfId="0" applyFill="1" applyBorder="1" applyAlignment="1">
      <alignment horizontal="left" vertical="center" wrapText="1"/>
    </xf>
    <xf numFmtId="0" fontId="4" fillId="6" borderId="3" xfId="0" applyFont="1" applyFill="1" applyBorder="1" applyAlignment="1">
      <alignment horizontal="right" vertical="center" wrapText="1"/>
    </xf>
    <xf numFmtId="0" fontId="4" fillId="6" borderId="1" xfId="0" applyFont="1" applyFill="1" applyBorder="1" applyAlignment="1">
      <alignment horizontal="right" vertical="center" wrapText="1"/>
    </xf>
    <xf numFmtId="0" fontId="10" fillId="0" borderId="0" xfId="0" applyFont="1" applyAlignment="1">
      <alignment horizontal="center"/>
    </xf>
    <xf numFmtId="0" fontId="1" fillId="0" borderId="0" xfId="0" applyFont="1" applyAlignment="1">
      <alignment horizontal="center"/>
    </xf>
    <xf numFmtId="0" fontId="4" fillId="0" borderId="0" xfId="0" applyFont="1" applyAlignment="1">
      <alignment horizontal="center"/>
    </xf>
    <xf numFmtId="0" fontId="0" fillId="0" borderId="0" xfId="0" applyAlignment="1">
      <alignment horizontal="center"/>
    </xf>
  </cellXfs>
  <cellStyles count="1">
    <cellStyle name="Normal" xfId="0" builtinId="0"/>
  </cellStyles>
  <dxfs count="36">
    <dxf>
      <font>
        <b/>
        <i/>
        <color rgb="FFFF0000"/>
      </font>
    </dxf>
    <dxf>
      <fill>
        <patternFill>
          <bgColor theme="7" tint="0.59996337778862885"/>
        </patternFill>
      </fill>
    </dxf>
    <dxf>
      <fill>
        <patternFill>
          <bgColor theme="9" tint="0.59996337778862885"/>
        </patternFill>
      </fill>
    </dxf>
    <dxf>
      <fill>
        <patternFill>
          <bgColor theme="5" tint="0.79998168889431442"/>
        </patternFill>
      </fill>
    </dxf>
    <dxf>
      <fill>
        <patternFill>
          <bgColor theme="4" tint="0.59996337778862885"/>
        </patternFill>
      </fill>
    </dxf>
    <dxf>
      <font>
        <b/>
        <i/>
        <color rgb="FFFF0000"/>
      </font>
    </dxf>
    <dxf>
      <fill>
        <patternFill>
          <bgColor theme="7" tint="0.59996337778862885"/>
        </patternFill>
      </fill>
    </dxf>
    <dxf>
      <fill>
        <patternFill>
          <bgColor theme="9" tint="0.59996337778862885"/>
        </patternFill>
      </fill>
    </dxf>
    <dxf>
      <fill>
        <patternFill>
          <bgColor theme="5" tint="0.79998168889431442"/>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5" tint="0.79998168889431442"/>
        </patternFill>
      </fill>
    </dxf>
    <dxf>
      <fill>
        <patternFill>
          <bgColor theme="4" tint="0.59996337778862885"/>
        </patternFill>
      </fill>
    </dxf>
    <dxf>
      <font>
        <b/>
        <i/>
        <color rgb="FFFF0000"/>
      </font>
    </dxf>
    <dxf>
      <font>
        <b/>
        <i/>
        <color rgb="FFFF0000"/>
      </font>
    </dxf>
    <dxf>
      <font>
        <b/>
        <i/>
        <color rgb="FFFF0000"/>
      </font>
    </dxf>
    <dxf>
      <font>
        <b/>
        <i/>
        <strike val="0"/>
        <color rgb="FFFF0000"/>
      </font>
    </dxf>
    <dxf>
      <fill>
        <patternFill>
          <bgColor theme="4" tint="-0.24994659260841701"/>
        </patternFill>
      </fill>
    </dxf>
    <dxf>
      <fill>
        <patternFill>
          <bgColor theme="5" tint="-0.24994659260841701"/>
        </patternFill>
      </fill>
    </dxf>
    <dxf>
      <fill>
        <patternFill>
          <bgColor theme="7" tint="0.39994506668294322"/>
        </patternFill>
      </fill>
    </dxf>
    <dxf>
      <fill>
        <patternFill>
          <bgColor theme="4" tint="0.59996337778862885"/>
        </patternFill>
      </fill>
    </dxf>
    <dxf>
      <fill>
        <patternFill>
          <bgColor theme="5" tint="0.59996337778862885"/>
        </patternFill>
      </fill>
    </dxf>
    <dxf>
      <fill>
        <patternFill>
          <bgColor theme="7" tint="0.59996337778862885"/>
        </patternFill>
      </fill>
    </dxf>
    <dxf>
      <fill>
        <patternFill>
          <bgColor theme="9" tint="0.59996337778862885"/>
        </patternFill>
      </fill>
    </dxf>
    <dxf>
      <font>
        <b/>
        <i/>
        <color rgb="FFFF0000"/>
      </font>
    </dxf>
    <dxf>
      <fill>
        <patternFill>
          <bgColor theme="4" tint="-0.24994659260841701"/>
        </patternFill>
      </fill>
    </dxf>
    <dxf>
      <fill>
        <patternFill>
          <bgColor theme="5" tint="-0.24994659260841701"/>
        </patternFill>
      </fill>
    </dxf>
    <dxf>
      <fill>
        <patternFill>
          <bgColor theme="7" tint="0.39994506668294322"/>
        </patternFill>
      </fill>
    </dxf>
    <dxf>
      <fill>
        <patternFill>
          <bgColor theme="4" tint="-0.24994659260841701"/>
        </patternFill>
      </fill>
    </dxf>
    <dxf>
      <fill>
        <patternFill>
          <bgColor theme="5" tint="-0.24994659260841701"/>
        </patternFill>
      </fill>
    </dxf>
    <dxf>
      <fill>
        <patternFill>
          <bgColor theme="7" tint="0.39994506668294322"/>
        </patternFill>
      </fill>
    </dxf>
    <dxf>
      <fill>
        <patternFill>
          <bgColor theme="4" tint="0.59996337778862885"/>
        </patternFill>
      </fill>
    </dxf>
    <dxf>
      <fill>
        <patternFill>
          <bgColor theme="5" tint="0.59996337778862885"/>
        </patternFill>
      </fill>
    </dxf>
    <dxf>
      <fill>
        <patternFill>
          <bgColor theme="7" tint="0.59996337778862885"/>
        </patternFill>
      </fill>
    </dxf>
    <dxf>
      <fill>
        <patternFill>
          <bgColor theme="9" tint="0.59996337778862885"/>
        </patternFill>
      </fill>
    </dxf>
  </dxfs>
  <tableStyles count="0" defaultTableStyle="TableStyleMedium2" defaultPivotStyle="PivotStyleLight16"/>
  <colors>
    <mruColors>
      <color rgb="FFFFCC99"/>
      <color rgb="FFFFCC66"/>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Voltage</a:t>
            </a:r>
            <a:r>
              <a:rPr lang="en-AU" baseline="0"/>
              <a:t> Ride Through - Customer Settings</a:t>
            </a:r>
            <a:endParaRPr lang="en-AU"/>
          </a:p>
        </c:rich>
      </c:tx>
      <c:layout>
        <c:manualLayout>
          <c:xMode val="edge"/>
          <c:yMode val="edge"/>
          <c:x val="0.27053942685868831"/>
          <c:y val="2.4570276271619364E-2"/>
        </c:manualLayout>
      </c:layout>
      <c:overlay val="0"/>
      <c:spPr>
        <a:noFill/>
        <a:ln>
          <a:noFill/>
        </a:ln>
        <a:effectLst/>
      </c:spPr>
    </c:title>
    <c:autoTitleDeleted val="0"/>
    <c:plotArea>
      <c:layout/>
      <c:scatterChart>
        <c:scatterStyle val="lineMarker"/>
        <c:varyColors val="0"/>
        <c:ser>
          <c:idx val="3"/>
          <c:order val="0"/>
          <c:tx>
            <c:strRef>
              <c:f>'Volt ride-thru'!$E$6</c:f>
              <c:strCache>
                <c:ptCount val="1"/>
                <c:pt idx="0">
                  <c:v>SC2x00 max capability</c:v>
                </c:pt>
              </c:strCache>
            </c:strRef>
          </c:tx>
          <c:spPr>
            <a:ln w="57150" cap="rnd">
              <a:solidFill>
                <a:srgbClr val="FF0000"/>
              </a:solidFill>
              <a:round/>
            </a:ln>
            <a:effectLst/>
          </c:spPr>
          <c:marker>
            <c:symbol val="none"/>
          </c:marker>
          <c:xVal>
            <c:numRef>
              <c:f>'Volt ride-thru'!$G$8:$L$8</c:f>
              <c:numCache>
                <c:formatCode>General</c:formatCode>
                <c:ptCount val="6"/>
                <c:pt idx="0">
                  <c:v>0</c:v>
                </c:pt>
                <c:pt idx="1">
                  <c:v>2</c:v>
                </c:pt>
                <c:pt idx="2">
                  <c:v>2</c:v>
                </c:pt>
                <c:pt idx="3">
                  <c:v>5</c:v>
                </c:pt>
                <c:pt idx="4">
                  <c:v>5</c:v>
                </c:pt>
                <c:pt idx="5">
                  <c:v>30</c:v>
                </c:pt>
              </c:numCache>
            </c:numRef>
          </c:xVal>
          <c:yVal>
            <c:numRef>
              <c:f>'Volt ride-thru'!$G$9:$L$9</c:f>
              <c:numCache>
                <c:formatCode>General</c:formatCode>
                <c:ptCount val="6"/>
                <c:pt idx="0">
                  <c:v>0</c:v>
                </c:pt>
                <c:pt idx="1">
                  <c:v>0</c:v>
                </c:pt>
                <c:pt idx="2">
                  <c:v>0.4</c:v>
                </c:pt>
                <c:pt idx="3">
                  <c:v>0.4</c:v>
                </c:pt>
                <c:pt idx="4">
                  <c:v>0.8</c:v>
                </c:pt>
                <c:pt idx="5">
                  <c:v>0.8</c:v>
                </c:pt>
              </c:numCache>
            </c:numRef>
          </c:yVal>
          <c:smooth val="0"/>
          <c:extLst>
            <c:ext xmlns:c16="http://schemas.microsoft.com/office/drawing/2014/chart" uri="{C3380CC4-5D6E-409C-BE32-E72D297353CC}">
              <c16:uniqueId val="{00000000-57D4-4008-8E7C-37EE0C9D1B17}"/>
            </c:ext>
          </c:extLst>
        </c:ser>
        <c:ser>
          <c:idx val="2"/>
          <c:order val="1"/>
          <c:tx>
            <c:strRef>
              <c:f>'Volt ride-thru'!$E$6</c:f>
              <c:strCache>
                <c:ptCount val="1"/>
                <c:pt idx="0">
                  <c:v>SC2x00 max capability</c:v>
                </c:pt>
              </c:strCache>
            </c:strRef>
          </c:tx>
          <c:spPr>
            <a:ln w="57150" cap="rnd">
              <a:solidFill>
                <a:srgbClr val="FF0000"/>
              </a:solidFill>
              <a:round/>
            </a:ln>
            <a:effectLst/>
          </c:spPr>
          <c:marker>
            <c:symbol val="none"/>
          </c:marker>
          <c:xVal>
            <c:numRef>
              <c:f>'Volt ride-thru'!$G$6:$L$6</c:f>
              <c:numCache>
                <c:formatCode>General</c:formatCode>
                <c:ptCount val="6"/>
                <c:pt idx="0">
                  <c:v>0.01</c:v>
                </c:pt>
                <c:pt idx="1">
                  <c:v>1</c:v>
                </c:pt>
                <c:pt idx="2">
                  <c:v>1</c:v>
                </c:pt>
                <c:pt idx="3">
                  <c:v>3</c:v>
                </c:pt>
                <c:pt idx="4">
                  <c:v>3</c:v>
                </c:pt>
                <c:pt idx="5">
                  <c:v>30</c:v>
                </c:pt>
              </c:numCache>
            </c:numRef>
          </c:xVal>
          <c:yVal>
            <c:numRef>
              <c:f>'Volt ride-thru'!$G$7:$L$7</c:f>
              <c:numCache>
                <c:formatCode>General</c:formatCode>
                <c:ptCount val="6"/>
                <c:pt idx="0">
                  <c:v>1.4</c:v>
                </c:pt>
                <c:pt idx="1">
                  <c:v>1.4</c:v>
                </c:pt>
                <c:pt idx="2">
                  <c:v>1.3</c:v>
                </c:pt>
                <c:pt idx="3">
                  <c:v>1.3</c:v>
                </c:pt>
                <c:pt idx="4">
                  <c:v>1.2</c:v>
                </c:pt>
                <c:pt idx="5">
                  <c:v>1.2</c:v>
                </c:pt>
              </c:numCache>
            </c:numRef>
          </c:yVal>
          <c:smooth val="0"/>
          <c:extLst>
            <c:ext xmlns:c16="http://schemas.microsoft.com/office/drawing/2014/chart" uri="{C3380CC4-5D6E-409C-BE32-E72D297353CC}">
              <c16:uniqueId val="{00000001-57D4-4008-8E7C-37EE0C9D1B17}"/>
            </c:ext>
          </c:extLst>
        </c:ser>
        <c:ser>
          <c:idx val="4"/>
          <c:order val="2"/>
          <c:tx>
            <c:strRef>
              <c:f>'Volt ride-thru'!$E$11</c:f>
              <c:strCache>
                <c:ptCount val="1"/>
                <c:pt idx="0">
                  <c:v>NER S5.1.a.4</c:v>
                </c:pt>
              </c:strCache>
            </c:strRef>
          </c:tx>
          <c:spPr>
            <a:ln w="44450" cap="rnd">
              <a:solidFill>
                <a:srgbClr val="FFC000"/>
              </a:solidFill>
              <a:round/>
            </a:ln>
            <a:effectLst/>
          </c:spPr>
          <c:marker>
            <c:symbol val="none"/>
          </c:marker>
          <c:xVal>
            <c:numRef>
              <c:f>'Volt ride-thru'!$F$14:$N$14</c:f>
              <c:numCache>
                <c:formatCode>General</c:formatCode>
                <c:ptCount val="9"/>
                <c:pt idx="0">
                  <c:v>0.02</c:v>
                </c:pt>
                <c:pt idx="1">
                  <c:v>0.06</c:v>
                </c:pt>
                <c:pt idx="2">
                  <c:v>0.1</c:v>
                </c:pt>
                <c:pt idx="3">
                  <c:v>0.2</c:v>
                </c:pt>
                <c:pt idx="4">
                  <c:v>0.4</c:v>
                </c:pt>
                <c:pt idx="5">
                  <c:v>0.5</c:v>
                </c:pt>
                <c:pt idx="6">
                  <c:v>0.9</c:v>
                </c:pt>
                <c:pt idx="7">
                  <c:v>0.9</c:v>
                </c:pt>
                <c:pt idx="8">
                  <c:v>30</c:v>
                </c:pt>
              </c:numCache>
            </c:numRef>
          </c:xVal>
          <c:yVal>
            <c:numRef>
              <c:f>'Volt ride-thru'!$F$15:$N$15</c:f>
              <c:numCache>
                <c:formatCode>General</c:formatCode>
                <c:ptCount val="9"/>
                <c:pt idx="0">
                  <c:v>1.3</c:v>
                </c:pt>
                <c:pt idx="1">
                  <c:v>1.3</c:v>
                </c:pt>
                <c:pt idx="2">
                  <c:v>1.26</c:v>
                </c:pt>
                <c:pt idx="3">
                  <c:v>1.2250000000000001</c:v>
                </c:pt>
                <c:pt idx="4">
                  <c:v>1.21</c:v>
                </c:pt>
                <c:pt idx="5">
                  <c:v>1.19</c:v>
                </c:pt>
                <c:pt idx="6">
                  <c:v>1.18</c:v>
                </c:pt>
                <c:pt idx="7">
                  <c:v>1.1000000000000001</c:v>
                </c:pt>
                <c:pt idx="8">
                  <c:v>1.1000000000000001</c:v>
                </c:pt>
              </c:numCache>
            </c:numRef>
          </c:yVal>
          <c:smooth val="0"/>
          <c:extLst>
            <c:ext xmlns:c16="http://schemas.microsoft.com/office/drawing/2014/chart" uri="{C3380CC4-5D6E-409C-BE32-E72D297353CC}">
              <c16:uniqueId val="{00000002-57D4-4008-8E7C-37EE0C9D1B17}"/>
            </c:ext>
          </c:extLst>
        </c:ser>
        <c:ser>
          <c:idx val="5"/>
          <c:order val="3"/>
          <c:tx>
            <c:strRef>
              <c:f>'Volt ride-thru'!$E$11</c:f>
              <c:strCache>
                <c:ptCount val="1"/>
                <c:pt idx="0">
                  <c:v>NER S5.1.a.4</c:v>
                </c:pt>
              </c:strCache>
            </c:strRef>
          </c:tx>
          <c:spPr>
            <a:ln w="44450" cap="rnd">
              <a:solidFill>
                <a:srgbClr val="FFC000"/>
              </a:solidFill>
              <a:round/>
            </a:ln>
            <a:effectLst/>
          </c:spPr>
          <c:marker>
            <c:symbol val="none"/>
          </c:marker>
          <c:xVal>
            <c:numRef>
              <c:f>'Volt ride-thru'!$F$11:$L$11</c:f>
              <c:numCache>
                <c:formatCode>General</c:formatCode>
                <c:ptCount val="7"/>
                <c:pt idx="0">
                  <c:v>0.43</c:v>
                </c:pt>
                <c:pt idx="1">
                  <c:v>0.43</c:v>
                </c:pt>
                <c:pt idx="2">
                  <c:v>2</c:v>
                </c:pt>
                <c:pt idx="3">
                  <c:v>2</c:v>
                </c:pt>
                <c:pt idx="4">
                  <c:v>10</c:v>
                </c:pt>
                <c:pt idx="5">
                  <c:v>10</c:v>
                </c:pt>
                <c:pt idx="6">
                  <c:v>30</c:v>
                </c:pt>
              </c:numCache>
            </c:numRef>
          </c:xVal>
          <c:yVal>
            <c:numRef>
              <c:f>'Volt ride-thru'!$F$12:$L$12</c:f>
              <c:numCache>
                <c:formatCode>General</c:formatCode>
                <c:ptCount val="7"/>
                <c:pt idx="0">
                  <c:v>0</c:v>
                </c:pt>
                <c:pt idx="1">
                  <c:v>0.7</c:v>
                </c:pt>
                <c:pt idx="2">
                  <c:v>0.7</c:v>
                </c:pt>
                <c:pt idx="3">
                  <c:v>0.8</c:v>
                </c:pt>
                <c:pt idx="4">
                  <c:v>0.8</c:v>
                </c:pt>
                <c:pt idx="5">
                  <c:v>0.9</c:v>
                </c:pt>
                <c:pt idx="6">
                  <c:v>0.9</c:v>
                </c:pt>
              </c:numCache>
            </c:numRef>
          </c:yVal>
          <c:smooth val="0"/>
          <c:extLst>
            <c:ext xmlns:c16="http://schemas.microsoft.com/office/drawing/2014/chart" uri="{C3380CC4-5D6E-409C-BE32-E72D297353CC}">
              <c16:uniqueId val="{00000003-57D4-4008-8E7C-37EE0C9D1B17}"/>
            </c:ext>
          </c:extLst>
        </c:ser>
        <c:ser>
          <c:idx val="6"/>
          <c:order val="4"/>
          <c:tx>
            <c:strRef>
              <c:f>'Volt ride-thru'!$E$17</c:f>
              <c:strCache>
                <c:ptCount val="1"/>
                <c:pt idx="0">
                  <c:v>Limited cooling;
SC2x00 is capable
 to ride through
 with eventually
 reduced output</c:v>
                </c:pt>
              </c:strCache>
            </c:strRef>
          </c:tx>
          <c:spPr>
            <a:ln w="38100">
              <a:solidFill>
                <a:srgbClr val="FF0000"/>
              </a:solidFill>
              <a:prstDash val="sysDot"/>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57D4-4008-8E7C-37EE0C9D1B17}"/>
                </c:ext>
              </c:extLst>
            </c:dLbl>
            <c:dLbl>
              <c:idx val="1"/>
              <c:layout>
                <c:manualLayout>
                  <c:x val="-2.7272404030282575E-2"/>
                  <c:y val="0.11199998360919215"/>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57D4-4008-8E7C-37EE0C9D1B17}"/>
                </c:ext>
              </c:extLst>
            </c:dLbl>
            <c:dLbl>
              <c:idx val="2"/>
              <c:delete val="1"/>
              <c:extLst>
                <c:ext xmlns:c15="http://schemas.microsoft.com/office/drawing/2012/chart" uri="{CE6537A1-D6FC-4f65-9D91-7224C49458BB}"/>
                <c:ext xmlns:c16="http://schemas.microsoft.com/office/drawing/2014/chart" uri="{C3380CC4-5D6E-409C-BE32-E72D297353CC}">
                  <c16:uniqueId val="{00000006-57D4-4008-8E7C-37EE0C9D1B17}"/>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'Volt ride-thru'!$I$17:$K$17</c:f>
              <c:numCache>
                <c:formatCode>General</c:formatCode>
                <c:ptCount val="3"/>
                <c:pt idx="0">
                  <c:v>5</c:v>
                </c:pt>
                <c:pt idx="1">
                  <c:v>11</c:v>
                </c:pt>
                <c:pt idx="2">
                  <c:v>11</c:v>
                </c:pt>
              </c:numCache>
            </c:numRef>
          </c:xVal>
          <c:yVal>
            <c:numRef>
              <c:f>'Volt ride-thru'!$I$18:$K$18</c:f>
              <c:numCache>
                <c:formatCode>General</c:formatCode>
                <c:ptCount val="3"/>
                <c:pt idx="0">
                  <c:v>0.7</c:v>
                </c:pt>
                <c:pt idx="1">
                  <c:v>0.7</c:v>
                </c:pt>
                <c:pt idx="2">
                  <c:v>0.8</c:v>
                </c:pt>
              </c:numCache>
            </c:numRef>
          </c:yVal>
          <c:smooth val="0"/>
          <c:extLst>
            <c:ext xmlns:c16="http://schemas.microsoft.com/office/drawing/2014/chart" uri="{C3380CC4-5D6E-409C-BE32-E72D297353CC}">
              <c16:uniqueId val="{00000007-57D4-4008-8E7C-37EE0C9D1B17}"/>
            </c:ext>
          </c:extLst>
        </c:ser>
        <c:ser>
          <c:idx val="7"/>
          <c:order val="5"/>
          <c:tx>
            <c:strRef>
              <c:f>'Volt ride-thru'!$E$20</c:f>
              <c:strCache>
                <c:ptCount val="1"/>
                <c:pt idx="0">
                  <c:v>FRT deadband</c:v>
                </c:pt>
              </c:strCache>
            </c:strRef>
          </c:tx>
          <c:spPr>
            <a:ln w="22225">
              <a:solidFill>
                <a:srgbClr val="00B050"/>
              </a:solidFill>
              <a:prstDash val="sysDash"/>
            </a:ln>
          </c:spPr>
          <c:marker>
            <c:symbol val="none"/>
          </c:marker>
          <c:xVal>
            <c:numRef>
              <c:f>'Volt ride-thru'!$F$21:$G$21</c:f>
              <c:numCache>
                <c:formatCode>General</c:formatCode>
                <c:ptCount val="2"/>
                <c:pt idx="0">
                  <c:v>0.01</c:v>
                </c:pt>
                <c:pt idx="1">
                  <c:v>30</c:v>
                </c:pt>
              </c:numCache>
            </c:numRef>
          </c:xVal>
          <c:yVal>
            <c:numRef>
              <c:f>'Volt ride-thru'!$F$22:$G$22</c:f>
              <c:numCache>
                <c:formatCode>General</c:formatCode>
                <c:ptCount val="2"/>
                <c:pt idx="0">
                  <c:v>1.25</c:v>
                </c:pt>
                <c:pt idx="1">
                  <c:v>1.25</c:v>
                </c:pt>
              </c:numCache>
            </c:numRef>
          </c:yVal>
          <c:smooth val="0"/>
          <c:extLst>
            <c:ext xmlns:c16="http://schemas.microsoft.com/office/drawing/2014/chart" uri="{C3380CC4-5D6E-409C-BE32-E72D297353CC}">
              <c16:uniqueId val="{00000008-57D4-4008-8E7C-37EE0C9D1B17}"/>
            </c:ext>
          </c:extLst>
        </c:ser>
        <c:ser>
          <c:idx val="8"/>
          <c:order val="6"/>
          <c:tx>
            <c:strRef>
              <c:f>'Volt ride-thru'!$E$20</c:f>
              <c:strCache>
                <c:ptCount val="1"/>
                <c:pt idx="0">
                  <c:v>FRT deadband</c:v>
                </c:pt>
              </c:strCache>
            </c:strRef>
          </c:tx>
          <c:spPr>
            <a:ln w="25400">
              <a:solidFill>
                <a:srgbClr val="00B050"/>
              </a:solidFill>
              <a:prstDash val="solid"/>
            </a:ln>
          </c:spPr>
          <c:marker>
            <c:symbol val="none"/>
          </c:marker>
          <c:xVal>
            <c:numRef>
              <c:f>'Volt ride-thru'!$F$24:$G$24</c:f>
              <c:numCache>
                <c:formatCode>General</c:formatCode>
                <c:ptCount val="2"/>
                <c:pt idx="0">
                  <c:v>0.01</c:v>
                </c:pt>
                <c:pt idx="1">
                  <c:v>30</c:v>
                </c:pt>
              </c:numCache>
            </c:numRef>
          </c:xVal>
          <c:yVal>
            <c:numRef>
              <c:f>'Volt ride-thru'!$F$25:$G$25</c:f>
              <c:numCache>
                <c:formatCode>General</c:formatCode>
                <c:ptCount val="2"/>
                <c:pt idx="0">
                  <c:v>0.75</c:v>
                </c:pt>
                <c:pt idx="1">
                  <c:v>0.75</c:v>
                </c:pt>
              </c:numCache>
            </c:numRef>
          </c:yVal>
          <c:smooth val="0"/>
          <c:extLst>
            <c:ext xmlns:c16="http://schemas.microsoft.com/office/drawing/2014/chart" uri="{C3380CC4-5D6E-409C-BE32-E72D297353CC}">
              <c16:uniqueId val="{00000009-57D4-4008-8E7C-37EE0C9D1B17}"/>
            </c:ext>
          </c:extLst>
        </c:ser>
        <c:ser>
          <c:idx val="0"/>
          <c:order val="7"/>
          <c:tx>
            <c:strRef>
              <c:f>'Volt ride-thru'!$E$1</c:f>
              <c:strCache>
                <c:ptCount val="1"/>
                <c:pt idx="0">
                  <c:v>Proposed Setting</c:v>
                </c:pt>
              </c:strCache>
            </c:strRef>
          </c:tx>
          <c:spPr>
            <a:ln w="19050" cap="rnd">
              <a:solidFill>
                <a:srgbClr val="0070C0"/>
              </a:solidFill>
              <a:round/>
            </a:ln>
            <a:effectLst/>
          </c:spPr>
          <c:marker>
            <c:symbol val="none"/>
          </c:marker>
          <c:xVal>
            <c:numRef>
              <c:f>'Volt ride-thru'!$G$1:$L$1</c:f>
              <c:numCache>
                <c:formatCode>General</c:formatCode>
                <c:ptCount val="6"/>
                <c:pt idx="0">
                  <c:v>0.01</c:v>
                </c:pt>
                <c:pt idx="1">
                  <c:v>0.5</c:v>
                </c:pt>
                <c:pt idx="2">
                  <c:v>0.5</c:v>
                </c:pt>
                <c:pt idx="3">
                  <c:v>1</c:v>
                </c:pt>
                <c:pt idx="4">
                  <c:v>1</c:v>
                </c:pt>
                <c:pt idx="5">
                  <c:v>30</c:v>
                </c:pt>
              </c:numCache>
            </c:numRef>
          </c:xVal>
          <c:yVal>
            <c:numRef>
              <c:f>'Volt ride-thru'!$G$2:$L$2</c:f>
              <c:numCache>
                <c:formatCode>General</c:formatCode>
                <c:ptCount val="6"/>
                <c:pt idx="0">
                  <c:v>1.32</c:v>
                </c:pt>
                <c:pt idx="1">
                  <c:v>1.32</c:v>
                </c:pt>
                <c:pt idx="2">
                  <c:v>1.22</c:v>
                </c:pt>
                <c:pt idx="3">
                  <c:v>1.22</c:v>
                </c:pt>
                <c:pt idx="4">
                  <c:v>1.1200000000000001</c:v>
                </c:pt>
                <c:pt idx="5">
                  <c:v>1.1200000000000001</c:v>
                </c:pt>
              </c:numCache>
            </c:numRef>
          </c:yVal>
          <c:smooth val="0"/>
          <c:extLst>
            <c:ext xmlns:c16="http://schemas.microsoft.com/office/drawing/2014/chart" uri="{C3380CC4-5D6E-409C-BE32-E72D297353CC}">
              <c16:uniqueId val="{0000000A-57D4-4008-8E7C-37EE0C9D1B17}"/>
            </c:ext>
          </c:extLst>
        </c:ser>
        <c:ser>
          <c:idx val="1"/>
          <c:order val="8"/>
          <c:tx>
            <c:strRef>
              <c:f>'Volt ride-thru'!$E$1</c:f>
              <c:strCache>
                <c:ptCount val="1"/>
                <c:pt idx="0">
                  <c:v>Proposed Setting</c:v>
                </c:pt>
              </c:strCache>
            </c:strRef>
          </c:tx>
          <c:spPr>
            <a:ln w="19050" cap="rnd">
              <a:solidFill>
                <a:srgbClr val="0070C0"/>
              </a:solidFill>
              <a:round/>
            </a:ln>
            <a:effectLst/>
          </c:spPr>
          <c:marker>
            <c:symbol val="none"/>
          </c:marker>
          <c:xVal>
            <c:numRef>
              <c:f>'Volt ride-thru'!$F$3:$L$3</c:f>
              <c:numCache>
                <c:formatCode>General</c:formatCode>
                <c:ptCount val="7"/>
                <c:pt idx="0">
                  <c:v>0.5</c:v>
                </c:pt>
                <c:pt idx="1">
                  <c:v>0.5</c:v>
                </c:pt>
                <c:pt idx="2">
                  <c:v>2.1</c:v>
                </c:pt>
                <c:pt idx="3">
                  <c:v>2.1</c:v>
                </c:pt>
                <c:pt idx="4">
                  <c:v>10.5</c:v>
                </c:pt>
                <c:pt idx="5">
                  <c:v>10.5</c:v>
                </c:pt>
                <c:pt idx="6">
                  <c:v>30</c:v>
                </c:pt>
              </c:numCache>
            </c:numRef>
          </c:xVal>
          <c:yVal>
            <c:numRef>
              <c:f>'Volt ride-thru'!$F$4:$L$4</c:f>
              <c:numCache>
                <c:formatCode>General</c:formatCode>
                <c:ptCount val="7"/>
                <c:pt idx="0">
                  <c:v>0</c:v>
                </c:pt>
                <c:pt idx="1">
                  <c:v>0.68</c:v>
                </c:pt>
                <c:pt idx="2">
                  <c:v>0.68</c:v>
                </c:pt>
                <c:pt idx="3">
                  <c:v>0.78</c:v>
                </c:pt>
                <c:pt idx="4">
                  <c:v>0.78</c:v>
                </c:pt>
                <c:pt idx="5">
                  <c:v>0.88</c:v>
                </c:pt>
                <c:pt idx="6">
                  <c:v>0.88</c:v>
                </c:pt>
              </c:numCache>
            </c:numRef>
          </c:yVal>
          <c:smooth val="0"/>
          <c:extLst>
            <c:ext xmlns:c16="http://schemas.microsoft.com/office/drawing/2014/chart" uri="{C3380CC4-5D6E-409C-BE32-E72D297353CC}">
              <c16:uniqueId val="{0000000B-57D4-4008-8E7C-37EE0C9D1B17}"/>
            </c:ext>
          </c:extLst>
        </c:ser>
        <c:dLbls>
          <c:showLegendKey val="0"/>
          <c:showVal val="0"/>
          <c:showCatName val="0"/>
          <c:showSerName val="0"/>
          <c:showPercent val="0"/>
          <c:showBubbleSize val="0"/>
        </c:dLbls>
        <c:axId val="96015872"/>
        <c:axId val="96017408"/>
      </c:scatterChart>
      <c:valAx>
        <c:axId val="96015872"/>
        <c:scaling>
          <c:logBase val="10"/>
          <c:orientation val="minMax"/>
          <c:max val="30"/>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cross"/>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017408"/>
        <c:crossesAt val="0"/>
        <c:crossBetween val="midCat"/>
      </c:valAx>
      <c:valAx>
        <c:axId val="96017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015872"/>
        <c:crossesAt val="1.0000000000000005E-7"/>
        <c:crossBetween val="midCat"/>
      </c:valAx>
      <c:spPr>
        <a:noFill/>
        <a:ln>
          <a:noFill/>
        </a:ln>
        <a:effectLst/>
      </c:spPr>
    </c:plotArea>
    <c:legend>
      <c:legendPos val="b"/>
      <c:legendEntry>
        <c:idx val="1"/>
        <c:delete val="1"/>
      </c:legendEntry>
      <c:legendEntry>
        <c:idx val="3"/>
        <c:delete val="1"/>
      </c:legendEntry>
      <c:legendEntry>
        <c:idx val="4"/>
        <c:delete val="1"/>
      </c:legendEntry>
      <c:legendEntry>
        <c:idx val="6"/>
        <c:delete val="1"/>
      </c:legendEntry>
      <c:legendEntry>
        <c:idx val="8"/>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AU" sz="1400" b="0">
                <a:solidFill>
                  <a:schemeClr val="tx1">
                    <a:lumMod val="65000"/>
                    <a:lumOff val="35000"/>
                  </a:schemeClr>
                </a:solidFill>
              </a:rPr>
              <a:t>Voltage Ride Through</a:t>
            </a:r>
            <a:r>
              <a:rPr lang="en-AU" sz="1400" b="0" baseline="0">
                <a:solidFill>
                  <a:schemeClr val="tx1">
                    <a:lumMod val="65000"/>
                    <a:lumOff val="35000"/>
                  </a:schemeClr>
                </a:solidFill>
              </a:rPr>
              <a:t> - Recommended Settings</a:t>
            </a:r>
            <a:endParaRPr lang="en-AU" sz="1400" b="0">
              <a:solidFill>
                <a:schemeClr val="tx1">
                  <a:lumMod val="65000"/>
                  <a:lumOff val="35000"/>
                </a:schemeClr>
              </a:solidFill>
            </a:endParaRPr>
          </a:p>
        </c:rich>
      </c:tx>
      <c:overlay val="0"/>
    </c:title>
    <c:autoTitleDeleted val="0"/>
    <c:plotArea>
      <c:layout>
        <c:manualLayout>
          <c:layoutTarget val="inner"/>
          <c:xMode val="edge"/>
          <c:yMode val="edge"/>
          <c:x val="5.1217401723360596E-2"/>
          <c:y val="0.10614981757869807"/>
          <c:w val="0.92418878563158779"/>
          <c:h val="0.76199034147374778"/>
        </c:manualLayout>
      </c:layout>
      <c:scatterChart>
        <c:scatterStyle val="lineMarker"/>
        <c:varyColors val="0"/>
        <c:ser>
          <c:idx val="3"/>
          <c:order val="0"/>
          <c:tx>
            <c:strRef>
              <c:f>'Volt ride-thru'!$E$35</c:f>
              <c:strCache>
                <c:ptCount val="1"/>
                <c:pt idx="0">
                  <c:v>SC2x00 max capability</c:v>
                </c:pt>
              </c:strCache>
            </c:strRef>
          </c:tx>
          <c:spPr>
            <a:ln w="57150" cap="rnd">
              <a:solidFill>
                <a:srgbClr val="FF0000"/>
              </a:solidFill>
              <a:round/>
            </a:ln>
            <a:effectLst/>
          </c:spPr>
          <c:marker>
            <c:symbol val="none"/>
          </c:marker>
          <c:xVal>
            <c:numRef>
              <c:f>'Volt ride-thru'!$G$37:$L$37</c:f>
              <c:numCache>
                <c:formatCode>General</c:formatCode>
                <c:ptCount val="6"/>
                <c:pt idx="0">
                  <c:v>0</c:v>
                </c:pt>
                <c:pt idx="1">
                  <c:v>2</c:v>
                </c:pt>
                <c:pt idx="2">
                  <c:v>2</c:v>
                </c:pt>
                <c:pt idx="3">
                  <c:v>5</c:v>
                </c:pt>
                <c:pt idx="4">
                  <c:v>5</c:v>
                </c:pt>
                <c:pt idx="5">
                  <c:v>30</c:v>
                </c:pt>
              </c:numCache>
            </c:numRef>
          </c:xVal>
          <c:yVal>
            <c:numRef>
              <c:f>'Volt ride-thru'!$G$38:$L$38</c:f>
              <c:numCache>
                <c:formatCode>General</c:formatCode>
                <c:ptCount val="6"/>
                <c:pt idx="0">
                  <c:v>0</c:v>
                </c:pt>
                <c:pt idx="1">
                  <c:v>0</c:v>
                </c:pt>
                <c:pt idx="2">
                  <c:v>0.4</c:v>
                </c:pt>
                <c:pt idx="3">
                  <c:v>0.4</c:v>
                </c:pt>
                <c:pt idx="4">
                  <c:v>0.8</c:v>
                </c:pt>
                <c:pt idx="5">
                  <c:v>0.8</c:v>
                </c:pt>
              </c:numCache>
            </c:numRef>
          </c:yVal>
          <c:smooth val="0"/>
          <c:extLst>
            <c:ext xmlns:c16="http://schemas.microsoft.com/office/drawing/2014/chart" uri="{C3380CC4-5D6E-409C-BE32-E72D297353CC}">
              <c16:uniqueId val="{00000000-4BBE-4380-962F-A763909AEAB4}"/>
            </c:ext>
          </c:extLst>
        </c:ser>
        <c:ser>
          <c:idx val="2"/>
          <c:order val="1"/>
          <c:tx>
            <c:strRef>
              <c:f>'Volt ride-thru'!$E$35</c:f>
              <c:strCache>
                <c:ptCount val="1"/>
                <c:pt idx="0">
                  <c:v>SC2x00 max capability</c:v>
                </c:pt>
              </c:strCache>
            </c:strRef>
          </c:tx>
          <c:spPr>
            <a:ln w="57150" cap="rnd">
              <a:solidFill>
                <a:srgbClr val="FF0000"/>
              </a:solidFill>
              <a:round/>
            </a:ln>
            <a:effectLst/>
          </c:spPr>
          <c:marker>
            <c:symbol val="none"/>
          </c:marker>
          <c:xVal>
            <c:numRef>
              <c:f>'Volt ride-thru'!$G$35:$L$35</c:f>
              <c:numCache>
                <c:formatCode>General</c:formatCode>
                <c:ptCount val="6"/>
                <c:pt idx="0">
                  <c:v>0.01</c:v>
                </c:pt>
                <c:pt idx="1">
                  <c:v>1</c:v>
                </c:pt>
                <c:pt idx="2">
                  <c:v>1</c:v>
                </c:pt>
                <c:pt idx="3">
                  <c:v>3</c:v>
                </c:pt>
                <c:pt idx="4">
                  <c:v>3</c:v>
                </c:pt>
                <c:pt idx="5">
                  <c:v>30</c:v>
                </c:pt>
              </c:numCache>
            </c:numRef>
          </c:xVal>
          <c:yVal>
            <c:numRef>
              <c:f>'Volt ride-thru'!$G$36:$L$36</c:f>
              <c:numCache>
                <c:formatCode>General</c:formatCode>
                <c:ptCount val="6"/>
                <c:pt idx="0">
                  <c:v>1.4</c:v>
                </c:pt>
                <c:pt idx="1">
                  <c:v>1.4</c:v>
                </c:pt>
                <c:pt idx="2">
                  <c:v>1.3</c:v>
                </c:pt>
                <c:pt idx="3">
                  <c:v>1.3</c:v>
                </c:pt>
                <c:pt idx="4">
                  <c:v>1.2</c:v>
                </c:pt>
                <c:pt idx="5">
                  <c:v>1.2</c:v>
                </c:pt>
              </c:numCache>
            </c:numRef>
          </c:yVal>
          <c:smooth val="0"/>
          <c:extLst>
            <c:ext xmlns:c16="http://schemas.microsoft.com/office/drawing/2014/chart" uri="{C3380CC4-5D6E-409C-BE32-E72D297353CC}">
              <c16:uniqueId val="{00000001-4BBE-4380-962F-A763909AEAB4}"/>
            </c:ext>
          </c:extLst>
        </c:ser>
        <c:ser>
          <c:idx val="4"/>
          <c:order val="2"/>
          <c:tx>
            <c:strRef>
              <c:f>'Volt ride-thru'!$E$40</c:f>
              <c:strCache>
                <c:ptCount val="1"/>
                <c:pt idx="0">
                  <c:v>NER S5.1.a.4</c:v>
                </c:pt>
              </c:strCache>
            </c:strRef>
          </c:tx>
          <c:spPr>
            <a:ln w="44450" cap="rnd">
              <a:solidFill>
                <a:srgbClr val="FFC000"/>
              </a:solidFill>
              <a:round/>
            </a:ln>
            <a:effectLst/>
          </c:spPr>
          <c:marker>
            <c:symbol val="none"/>
          </c:marker>
          <c:xVal>
            <c:numRef>
              <c:f>'Volt ride-thru'!$F$43:$N$43</c:f>
              <c:numCache>
                <c:formatCode>General</c:formatCode>
                <c:ptCount val="9"/>
                <c:pt idx="0">
                  <c:v>0.02</c:v>
                </c:pt>
                <c:pt idx="1">
                  <c:v>0.06</c:v>
                </c:pt>
                <c:pt idx="2">
                  <c:v>0.1</c:v>
                </c:pt>
                <c:pt idx="3">
                  <c:v>0.2</c:v>
                </c:pt>
                <c:pt idx="4">
                  <c:v>0.4</c:v>
                </c:pt>
                <c:pt idx="5">
                  <c:v>0.5</c:v>
                </c:pt>
                <c:pt idx="6">
                  <c:v>0.9</c:v>
                </c:pt>
                <c:pt idx="7">
                  <c:v>0.9</c:v>
                </c:pt>
                <c:pt idx="8">
                  <c:v>30</c:v>
                </c:pt>
              </c:numCache>
            </c:numRef>
          </c:xVal>
          <c:yVal>
            <c:numRef>
              <c:f>'Volt ride-thru'!$F$44:$N$44</c:f>
              <c:numCache>
                <c:formatCode>General</c:formatCode>
                <c:ptCount val="9"/>
                <c:pt idx="0">
                  <c:v>1.3</c:v>
                </c:pt>
                <c:pt idx="1">
                  <c:v>1.3</c:v>
                </c:pt>
                <c:pt idx="2">
                  <c:v>1.26</c:v>
                </c:pt>
                <c:pt idx="3">
                  <c:v>1.2250000000000001</c:v>
                </c:pt>
                <c:pt idx="4">
                  <c:v>1.21</c:v>
                </c:pt>
                <c:pt idx="5">
                  <c:v>1.19</c:v>
                </c:pt>
                <c:pt idx="6">
                  <c:v>1.18</c:v>
                </c:pt>
                <c:pt idx="7">
                  <c:v>1.1000000000000001</c:v>
                </c:pt>
                <c:pt idx="8">
                  <c:v>1.1000000000000001</c:v>
                </c:pt>
              </c:numCache>
            </c:numRef>
          </c:yVal>
          <c:smooth val="0"/>
          <c:extLst>
            <c:ext xmlns:c16="http://schemas.microsoft.com/office/drawing/2014/chart" uri="{C3380CC4-5D6E-409C-BE32-E72D297353CC}">
              <c16:uniqueId val="{00000002-4BBE-4380-962F-A763909AEAB4}"/>
            </c:ext>
          </c:extLst>
        </c:ser>
        <c:ser>
          <c:idx val="5"/>
          <c:order val="3"/>
          <c:tx>
            <c:strRef>
              <c:f>'Volt ride-thru'!$E$11</c:f>
              <c:strCache>
                <c:ptCount val="1"/>
                <c:pt idx="0">
                  <c:v>NER S5.1.a.4</c:v>
                </c:pt>
              </c:strCache>
            </c:strRef>
          </c:tx>
          <c:spPr>
            <a:ln w="44450" cap="rnd">
              <a:solidFill>
                <a:srgbClr val="FFC000"/>
              </a:solidFill>
              <a:round/>
            </a:ln>
            <a:effectLst/>
          </c:spPr>
          <c:marker>
            <c:symbol val="none"/>
          </c:marker>
          <c:xVal>
            <c:numRef>
              <c:f>'Volt ride-thru'!$F$11:$L$11</c:f>
              <c:numCache>
                <c:formatCode>General</c:formatCode>
                <c:ptCount val="7"/>
                <c:pt idx="0">
                  <c:v>0.43</c:v>
                </c:pt>
                <c:pt idx="1">
                  <c:v>0.43</c:v>
                </c:pt>
                <c:pt idx="2">
                  <c:v>2</c:v>
                </c:pt>
                <c:pt idx="3">
                  <c:v>2</c:v>
                </c:pt>
                <c:pt idx="4">
                  <c:v>10</c:v>
                </c:pt>
                <c:pt idx="5">
                  <c:v>10</c:v>
                </c:pt>
                <c:pt idx="6">
                  <c:v>30</c:v>
                </c:pt>
              </c:numCache>
            </c:numRef>
          </c:xVal>
          <c:yVal>
            <c:numRef>
              <c:f>'Volt ride-thru'!$F$12:$L$12</c:f>
              <c:numCache>
                <c:formatCode>General</c:formatCode>
                <c:ptCount val="7"/>
                <c:pt idx="0">
                  <c:v>0</c:v>
                </c:pt>
                <c:pt idx="1">
                  <c:v>0.7</c:v>
                </c:pt>
                <c:pt idx="2">
                  <c:v>0.7</c:v>
                </c:pt>
                <c:pt idx="3">
                  <c:v>0.8</c:v>
                </c:pt>
                <c:pt idx="4">
                  <c:v>0.8</c:v>
                </c:pt>
                <c:pt idx="5">
                  <c:v>0.9</c:v>
                </c:pt>
                <c:pt idx="6">
                  <c:v>0.9</c:v>
                </c:pt>
              </c:numCache>
            </c:numRef>
          </c:yVal>
          <c:smooth val="0"/>
          <c:extLst>
            <c:ext xmlns:c16="http://schemas.microsoft.com/office/drawing/2014/chart" uri="{C3380CC4-5D6E-409C-BE32-E72D297353CC}">
              <c16:uniqueId val="{00000003-4BBE-4380-962F-A763909AEAB4}"/>
            </c:ext>
          </c:extLst>
        </c:ser>
        <c:ser>
          <c:idx val="6"/>
          <c:order val="4"/>
          <c:tx>
            <c:strRef>
              <c:f>'Volt ride-thru'!$E$46</c:f>
              <c:strCache>
                <c:ptCount val="1"/>
                <c:pt idx="0">
                  <c:v>Limited cooling;
SC2x00 is capable
 to ride through
 with eventually
 reduced output</c:v>
                </c:pt>
              </c:strCache>
            </c:strRef>
          </c:tx>
          <c:spPr>
            <a:ln w="38100">
              <a:solidFill>
                <a:srgbClr val="FF0000"/>
              </a:solidFill>
              <a:prstDash val="sysDot"/>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4BBE-4380-962F-A763909AEAB4}"/>
                </c:ext>
              </c:extLst>
            </c:dLbl>
            <c:dLbl>
              <c:idx val="1"/>
              <c:layout>
                <c:manualLayout>
                  <c:x val="-2.7272404030282575E-2"/>
                  <c:y val="0.11199998360919215"/>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4BBE-4380-962F-A763909AEAB4}"/>
                </c:ext>
              </c:extLst>
            </c:dLbl>
            <c:dLbl>
              <c:idx val="2"/>
              <c:delete val="1"/>
              <c:extLst>
                <c:ext xmlns:c15="http://schemas.microsoft.com/office/drawing/2012/chart" uri="{CE6537A1-D6FC-4f65-9D91-7224C49458BB}"/>
                <c:ext xmlns:c16="http://schemas.microsoft.com/office/drawing/2014/chart" uri="{C3380CC4-5D6E-409C-BE32-E72D297353CC}">
                  <c16:uniqueId val="{00000006-4BBE-4380-962F-A763909AEAB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'Volt ride-thru'!$I$46:$K$46</c:f>
              <c:numCache>
                <c:formatCode>General</c:formatCode>
                <c:ptCount val="3"/>
                <c:pt idx="0">
                  <c:v>5</c:v>
                </c:pt>
                <c:pt idx="1">
                  <c:v>11</c:v>
                </c:pt>
                <c:pt idx="2">
                  <c:v>11</c:v>
                </c:pt>
              </c:numCache>
            </c:numRef>
          </c:xVal>
          <c:yVal>
            <c:numRef>
              <c:f>'Volt ride-thru'!$I$47:$K$47</c:f>
              <c:numCache>
                <c:formatCode>General</c:formatCode>
                <c:ptCount val="3"/>
                <c:pt idx="0">
                  <c:v>0.7</c:v>
                </c:pt>
                <c:pt idx="1">
                  <c:v>0.7</c:v>
                </c:pt>
                <c:pt idx="2">
                  <c:v>0.8</c:v>
                </c:pt>
              </c:numCache>
            </c:numRef>
          </c:yVal>
          <c:smooth val="0"/>
          <c:extLst>
            <c:ext xmlns:c16="http://schemas.microsoft.com/office/drawing/2014/chart" uri="{C3380CC4-5D6E-409C-BE32-E72D297353CC}">
              <c16:uniqueId val="{00000007-4BBE-4380-962F-A763909AEAB4}"/>
            </c:ext>
          </c:extLst>
        </c:ser>
        <c:ser>
          <c:idx val="7"/>
          <c:order val="5"/>
          <c:tx>
            <c:strRef>
              <c:f>'Volt ride-thru'!$E$49</c:f>
              <c:strCache>
                <c:ptCount val="1"/>
                <c:pt idx="0">
                  <c:v>FRT deadband</c:v>
                </c:pt>
              </c:strCache>
            </c:strRef>
          </c:tx>
          <c:spPr>
            <a:ln w="22225">
              <a:solidFill>
                <a:srgbClr val="00B050"/>
              </a:solidFill>
              <a:prstDash val="sysDash"/>
            </a:ln>
          </c:spPr>
          <c:marker>
            <c:symbol val="none"/>
          </c:marker>
          <c:xVal>
            <c:numRef>
              <c:f>'Volt ride-thru'!$F$50:$G$50</c:f>
              <c:numCache>
                <c:formatCode>General</c:formatCode>
                <c:ptCount val="2"/>
                <c:pt idx="0">
                  <c:v>0.01</c:v>
                </c:pt>
                <c:pt idx="1">
                  <c:v>30</c:v>
                </c:pt>
              </c:numCache>
            </c:numRef>
          </c:xVal>
          <c:yVal>
            <c:numRef>
              <c:f>'Volt ride-thru'!$F$51:$G$51</c:f>
              <c:numCache>
                <c:formatCode>General</c:formatCode>
                <c:ptCount val="2"/>
                <c:pt idx="0" formatCode="0.00">
                  <c:v>1.25</c:v>
                </c:pt>
                <c:pt idx="1">
                  <c:v>1.25</c:v>
                </c:pt>
              </c:numCache>
            </c:numRef>
          </c:yVal>
          <c:smooth val="0"/>
          <c:extLst>
            <c:ext xmlns:c16="http://schemas.microsoft.com/office/drawing/2014/chart" uri="{C3380CC4-5D6E-409C-BE32-E72D297353CC}">
              <c16:uniqueId val="{00000008-4BBE-4380-962F-A763909AEAB4}"/>
            </c:ext>
          </c:extLst>
        </c:ser>
        <c:ser>
          <c:idx val="8"/>
          <c:order val="6"/>
          <c:tx>
            <c:strRef>
              <c:f>'Volt ride-thru'!$E$49</c:f>
              <c:strCache>
                <c:ptCount val="1"/>
                <c:pt idx="0">
                  <c:v>FRT deadband</c:v>
                </c:pt>
              </c:strCache>
            </c:strRef>
          </c:tx>
          <c:spPr>
            <a:ln w="25400">
              <a:solidFill>
                <a:srgbClr val="00B050"/>
              </a:solidFill>
              <a:prstDash val="solid"/>
            </a:ln>
          </c:spPr>
          <c:marker>
            <c:symbol val="none"/>
          </c:marker>
          <c:xVal>
            <c:numRef>
              <c:f>'Volt ride-thru'!$F$53:$G$53</c:f>
              <c:numCache>
                <c:formatCode>General</c:formatCode>
                <c:ptCount val="2"/>
                <c:pt idx="0">
                  <c:v>0.01</c:v>
                </c:pt>
                <c:pt idx="1">
                  <c:v>30</c:v>
                </c:pt>
              </c:numCache>
            </c:numRef>
          </c:xVal>
          <c:yVal>
            <c:numRef>
              <c:f>'Volt ride-thru'!$F$54:$G$54</c:f>
              <c:numCache>
                <c:formatCode>General</c:formatCode>
                <c:ptCount val="2"/>
                <c:pt idx="0" formatCode="0.00">
                  <c:v>0.75</c:v>
                </c:pt>
                <c:pt idx="1">
                  <c:v>0.75</c:v>
                </c:pt>
              </c:numCache>
            </c:numRef>
          </c:yVal>
          <c:smooth val="0"/>
          <c:extLst>
            <c:ext xmlns:c16="http://schemas.microsoft.com/office/drawing/2014/chart" uri="{C3380CC4-5D6E-409C-BE32-E72D297353CC}">
              <c16:uniqueId val="{00000009-4BBE-4380-962F-A763909AEAB4}"/>
            </c:ext>
          </c:extLst>
        </c:ser>
        <c:ser>
          <c:idx val="0"/>
          <c:order val="7"/>
          <c:tx>
            <c:strRef>
              <c:f>'Volt ride-thru'!$E$30</c:f>
              <c:strCache>
                <c:ptCount val="1"/>
                <c:pt idx="0">
                  <c:v>Proposed Setting</c:v>
                </c:pt>
              </c:strCache>
            </c:strRef>
          </c:tx>
          <c:spPr>
            <a:ln w="19050" cap="rnd">
              <a:solidFill>
                <a:srgbClr val="0070C0"/>
              </a:solidFill>
              <a:round/>
            </a:ln>
            <a:effectLst/>
          </c:spPr>
          <c:marker>
            <c:symbol val="none"/>
          </c:marker>
          <c:xVal>
            <c:numRef>
              <c:f>'Volt ride-thru'!$G$30:$L$30</c:f>
              <c:numCache>
                <c:formatCode>General</c:formatCode>
                <c:ptCount val="6"/>
                <c:pt idx="0">
                  <c:v>0.01</c:v>
                </c:pt>
                <c:pt idx="1">
                  <c:v>0.5</c:v>
                </c:pt>
                <c:pt idx="2">
                  <c:v>0.5</c:v>
                </c:pt>
                <c:pt idx="3">
                  <c:v>1</c:v>
                </c:pt>
                <c:pt idx="4">
                  <c:v>1</c:v>
                </c:pt>
                <c:pt idx="5">
                  <c:v>30</c:v>
                </c:pt>
              </c:numCache>
            </c:numRef>
          </c:xVal>
          <c:yVal>
            <c:numRef>
              <c:f>'Volt ride-thru'!$G$31:$L$31</c:f>
              <c:numCache>
                <c:formatCode>General</c:formatCode>
                <c:ptCount val="6"/>
                <c:pt idx="0">
                  <c:v>1.32</c:v>
                </c:pt>
                <c:pt idx="1">
                  <c:v>1.32</c:v>
                </c:pt>
                <c:pt idx="2">
                  <c:v>1.22</c:v>
                </c:pt>
                <c:pt idx="3">
                  <c:v>1.22</c:v>
                </c:pt>
                <c:pt idx="4">
                  <c:v>1.1200000000000001</c:v>
                </c:pt>
                <c:pt idx="5">
                  <c:v>1.1200000000000001</c:v>
                </c:pt>
              </c:numCache>
            </c:numRef>
          </c:yVal>
          <c:smooth val="0"/>
          <c:extLst>
            <c:ext xmlns:c16="http://schemas.microsoft.com/office/drawing/2014/chart" uri="{C3380CC4-5D6E-409C-BE32-E72D297353CC}">
              <c16:uniqueId val="{0000000A-4BBE-4380-962F-A763909AEAB4}"/>
            </c:ext>
          </c:extLst>
        </c:ser>
        <c:ser>
          <c:idx val="1"/>
          <c:order val="8"/>
          <c:tx>
            <c:strRef>
              <c:f>'Volt ride-thru'!$E$30</c:f>
              <c:strCache>
                <c:ptCount val="1"/>
                <c:pt idx="0">
                  <c:v>Proposed Setting</c:v>
                </c:pt>
              </c:strCache>
            </c:strRef>
          </c:tx>
          <c:spPr>
            <a:ln w="19050" cap="rnd">
              <a:solidFill>
                <a:srgbClr val="0070C0"/>
              </a:solidFill>
              <a:round/>
            </a:ln>
            <a:effectLst/>
          </c:spPr>
          <c:marker>
            <c:symbol val="none"/>
          </c:marker>
          <c:xVal>
            <c:numRef>
              <c:f>'Volt ride-thru'!$F$32:$L$32</c:f>
              <c:numCache>
                <c:formatCode>General</c:formatCode>
                <c:ptCount val="7"/>
                <c:pt idx="0">
                  <c:v>0.5</c:v>
                </c:pt>
                <c:pt idx="1">
                  <c:v>0.5</c:v>
                </c:pt>
                <c:pt idx="2">
                  <c:v>2.1</c:v>
                </c:pt>
                <c:pt idx="3">
                  <c:v>2.1</c:v>
                </c:pt>
                <c:pt idx="4">
                  <c:v>10.5</c:v>
                </c:pt>
                <c:pt idx="5">
                  <c:v>10.5</c:v>
                </c:pt>
                <c:pt idx="6">
                  <c:v>30</c:v>
                </c:pt>
              </c:numCache>
            </c:numRef>
          </c:xVal>
          <c:yVal>
            <c:numRef>
              <c:f>'Volt ride-thru'!$F$33:$L$33</c:f>
              <c:numCache>
                <c:formatCode>General</c:formatCode>
                <c:ptCount val="7"/>
                <c:pt idx="0">
                  <c:v>0</c:v>
                </c:pt>
                <c:pt idx="1">
                  <c:v>0.68</c:v>
                </c:pt>
                <c:pt idx="2">
                  <c:v>0.68</c:v>
                </c:pt>
                <c:pt idx="3">
                  <c:v>0.78</c:v>
                </c:pt>
                <c:pt idx="4">
                  <c:v>0.78</c:v>
                </c:pt>
                <c:pt idx="5">
                  <c:v>0.88</c:v>
                </c:pt>
                <c:pt idx="6">
                  <c:v>0.88</c:v>
                </c:pt>
              </c:numCache>
            </c:numRef>
          </c:yVal>
          <c:smooth val="0"/>
          <c:extLst>
            <c:ext xmlns:c16="http://schemas.microsoft.com/office/drawing/2014/chart" uri="{C3380CC4-5D6E-409C-BE32-E72D297353CC}">
              <c16:uniqueId val="{0000000B-4BBE-4380-962F-A763909AEAB4}"/>
            </c:ext>
          </c:extLst>
        </c:ser>
        <c:dLbls>
          <c:showLegendKey val="0"/>
          <c:showVal val="0"/>
          <c:showCatName val="0"/>
          <c:showSerName val="0"/>
          <c:showPercent val="0"/>
          <c:showBubbleSize val="0"/>
        </c:dLbls>
        <c:axId val="96378880"/>
        <c:axId val="96380416"/>
      </c:scatterChart>
      <c:valAx>
        <c:axId val="96378880"/>
        <c:scaling>
          <c:logBase val="10"/>
          <c:orientation val="minMax"/>
          <c:max val="30"/>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cross"/>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80416"/>
        <c:crossesAt val="0"/>
        <c:crossBetween val="midCat"/>
      </c:valAx>
      <c:valAx>
        <c:axId val="96380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78880"/>
        <c:crossesAt val="1.0000000000000005E-7"/>
        <c:crossBetween val="midCat"/>
      </c:valAx>
      <c:spPr>
        <a:noFill/>
        <a:ln>
          <a:noFill/>
        </a:ln>
        <a:effectLst/>
      </c:spPr>
    </c:plotArea>
    <c:legend>
      <c:legendPos val="b"/>
      <c:legendEntry>
        <c:idx val="1"/>
        <c:delete val="1"/>
      </c:legendEntry>
      <c:legendEntry>
        <c:idx val="3"/>
        <c:delete val="1"/>
      </c:legendEntry>
      <c:legendEntry>
        <c:idx val="4"/>
        <c:delete val="1"/>
      </c:legendEntry>
      <c:legendEntry>
        <c:idx val="6"/>
        <c:delete val="1"/>
      </c:legendEntry>
      <c:legendEntry>
        <c:idx val="8"/>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Volt Ride-Through - Recommended Settings</a:t>
            </a:r>
          </a:p>
        </c:rich>
      </c:tx>
      <c:overlay val="0"/>
    </c:title>
    <c:autoTitleDeleted val="0"/>
    <c:plotArea>
      <c:layout/>
      <c:scatterChart>
        <c:scatterStyle val="lineMarker"/>
        <c:varyColors val="0"/>
        <c:ser>
          <c:idx val="0"/>
          <c:order val="0"/>
          <c:tx>
            <c:v>SC2x00 max Capability</c:v>
          </c:tx>
          <c:spPr>
            <a:ln w="57150">
              <a:solidFill>
                <a:srgbClr val="FF0000"/>
              </a:solidFill>
            </a:ln>
          </c:spPr>
          <c:marker>
            <c:symbol val="diamond"/>
            <c:size val="3"/>
            <c:spPr>
              <a:solidFill>
                <a:srgbClr val="FF0000"/>
              </a:solidFill>
              <a:ln w="57150">
                <a:solidFill>
                  <a:srgbClr val="FF0000"/>
                </a:solidFill>
              </a:ln>
            </c:spPr>
          </c:marker>
          <c:xVal>
            <c:numRef>
              <c:f>'Volt ride-thru'!$G$37:$L$37</c:f>
              <c:numCache>
                <c:formatCode>General</c:formatCode>
                <c:ptCount val="6"/>
                <c:pt idx="0">
                  <c:v>0</c:v>
                </c:pt>
                <c:pt idx="1">
                  <c:v>2</c:v>
                </c:pt>
                <c:pt idx="2">
                  <c:v>2</c:v>
                </c:pt>
                <c:pt idx="3">
                  <c:v>5</c:v>
                </c:pt>
                <c:pt idx="4">
                  <c:v>5</c:v>
                </c:pt>
                <c:pt idx="5">
                  <c:v>30</c:v>
                </c:pt>
              </c:numCache>
            </c:numRef>
          </c:xVal>
          <c:yVal>
            <c:numRef>
              <c:f>'Volt ride-thru'!$G$38:$L$38</c:f>
              <c:numCache>
                <c:formatCode>General</c:formatCode>
                <c:ptCount val="6"/>
                <c:pt idx="0">
                  <c:v>0</c:v>
                </c:pt>
                <c:pt idx="1">
                  <c:v>0</c:v>
                </c:pt>
                <c:pt idx="2">
                  <c:v>0.4</c:v>
                </c:pt>
                <c:pt idx="3">
                  <c:v>0.4</c:v>
                </c:pt>
                <c:pt idx="4">
                  <c:v>0.8</c:v>
                </c:pt>
                <c:pt idx="5">
                  <c:v>0.8</c:v>
                </c:pt>
              </c:numCache>
            </c:numRef>
          </c:yVal>
          <c:smooth val="0"/>
          <c:extLst>
            <c:ext xmlns:c16="http://schemas.microsoft.com/office/drawing/2014/chart" uri="{C3380CC4-5D6E-409C-BE32-E72D297353CC}">
              <c16:uniqueId val="{00000000-B001-4AB7-8B4F-91E0C996FF73}"/>
            </c:ext>
          </c:extLst>
        </c:ser>
        <c:ser>
          <c:idx val="1"/>
          <c:order val="1"/>
          <c:spPr>
            <a:ln w="57150">
              <a:solidFill>
                <a:srgbClr val="FF0000"/>
              </a:solidFill>
            </a:ln>
          </c:spPr>
          <c:marker>
            <c:symbol val="square"/>
            <c:size val="3"/>
            <c:spPr>
              <a:solidFill>
                <a:srgbClr val="FF0000"/>
              </a:solidFill>
              <a:ln w="57150">
                <a:solidFill>
                  <a:srgbClr val="FF0000"/>
                </a:solidFill>
              </a:ln>
            </c:spPr>
          </c:marker>
          <c:xVal>
            <c:numRef>
              <c:f>'Volt ride-thru'!$G$35:$L$35</c:f>
              <c:numCache>
                <c:formatCode>General</c:formatCode>
                <c:ptCount val="6"/>
                <c:pt idx="0">
                  <c:v>0.01</c:v>
                </c:pt>
                <c:pt idx="1">
                  <c:v>1</c:v>
                </c:pt>
                <c:pt idx="2">
                  <c:v>1</c:v>
                </c:pt>
                <c:pt idx="3">
                  <c:v>3</c:v>
                </c:pt>
                <c:pt idx="4">
                  <c:v>3</c:v>
                </c:pt>
                <c:pt idx="5">
                  <c:v>30</c:v>
                </c:pt>
              </c:numCache>
            </c:numRef>
          </c:xVal>
          <c:yVal>
            <c:numRef>
              <c:f>'Volt ride-thru'!$G$36:$L$36</c:f>
              <c:numCache>
                <c:formatCode>General</c:formatCode>
                <c:ptCount val="6"/>
                <c:pt idx="0">
                  <c:v>1.4</c:v>
                </c:pt>
                <c:pt idx="1">
                  <c:v>1.4</c:v>
                </c:pt>
                <c:pt idx="2">
                  <c:v>1.3</c:v>
                </c:pt>
                <c:pt idx="3">
                  <c:v>1.3</c:v>
                </c:pt>
                <c:pt idx="4">
                  <c:v>1.2</c:v>
                </c:pt>
                <c:pt idx="5">
                  <c:v>1.2</c:v>
                </c:pt>
              </c:numCache>
            </c:numRef>
          </c:yVal>
          <c:smooth val="0"/>
          <c:extLst>
            <c:ext xmlns:c16="http://schemas.microsoft.com/office/drawing/2014/chart" uri="{C3380CC4-5D6E-409C-BE32-E72D297353CC}">
              <c16:uniqueId val="{00000001-B001-4AB7-8B4F-91E0C996FF73}"/>
            </c:ext>
          </c:extLst>
        </c:ser>
        <c:ser>
          <c:idx val="2"/>
          <c:order val="2"/>
          <c:spPr>
            <a:ln w="57150">
              <a:solidFill>
                <a:srgbClr val="FF0000"/>
              </a:solidFill>
              <a:prstDash val="sysDot"/>
            </a:ln>
          </c:spPr>
          <c:marker>
            <c:symbol val="triangle"/>
            <c:size val="3"/>
            <c:spPr>
              <a:solidFill>
                <a:srgbClr val="FF0000"/>
              </a:solidFill>
              <a:ln w="57150">
                <a:solidFill>
                  <a:srgbClr val="FF0000"/>
                </a:solidFill>
                <a:prstDash val="sysDot"/>
              </a:ln>
            </c:spPr>
          </c:marker>
          <c:xVal>
            <c:numRef>
              <c:f>'Volt ride-thru'!$I$46:$L$46</c:f>
              <c:numCache>
                <c:formatCode>General</c:formatCode>
                <c:ptCount val="4"/>
                <c:pt idx="0">
                  <c:v>5</c:v>
                </c:pt>
                <c:pt idx="1">
                  <c:v>11</c:v>
                </c:pt>
                <c:pt idx="2">
                  <c:v>11</c:v>
                </c:pt>
              </c:numCache>
            </c:numRef>
          </c:xVal>
          <c:yVal>
            <c:numRef>
              <c:f>'Volt ride-thru'!$I$47:$L$47</c:f>
              <c:numCache>
                <c:formatCode>General</c:formatCode>
                <c:ptCount val="4"/>
                <c:pt idx="0">
                  <c:v>0.7</c:v>
                </c:pt>
                <c:pt idx="1">
                  <c:v>0.7</c:v>
                </c:pt>
                <c:pt idx="2">
                  <c:v>0.8</c:v>
                </c:pt>
              </c:numCache>
            </c:numRef>
          </c:yVal>
          <c:smooth val="0"/>
          <c:extLst>
            <c:ext xmlns:c16="http://schemas.microsoft.com/office/drawing/2014/chart" uri="{C3380CC4-5D6E-409C-BE32-E72D297353CC}">
              <c16:uniqueId val="{00000002-B001-4AB7-8B4F-91E0C996FF73}"/>
            </c:ext>
          </c:extLst>
        </c:ser>
        <c:ser>
          <c:idx val="3"/>
          <c:order val="3"/>
          <c:tx>
            <c:v>NER S5.1.a.4</c:v>
          </c:tx>
          <c:spPr>
            <a:ln w="44450">
              <a:solidFill>
                <a:srgbClr val="FFC000"/>
              </a:solidFill>
            </a:ln>
          </c:spPr>
          <c:marker>
            <c:symbol val="x"/>
            <c:size val="3"/>
            <c:spPr>
              <a:solidFill>
                <a:srgbClr val="FFC000"/>
              </a:solidFill>
              <a:ln w="44450">
                <a:solidFill>
                  <a:srgbClr val="FFC000"/>
                </a:solidFill>
              </a:ln>
            </c:spPr>
          </c:marker>
          <c:xVal>
            <c:numRef>
              <c:f>'Volt ride-thru'!$F$43:$N$43</c:f>
              <c:numCache>
                <c:formatCode>General</c:formatCode>
                <c:ptCount val="9"/>
                <c:pt idx="0">
                  <c:v>0.02</c:v>
                </c:pt>
                <c:pt idx="1">
                  <c:v>0.06</c:v>
                </c:pt>
                <c:pt idx="2">
                  <c:v>0.1</c:v>
                </c:pt>
                <c:pt idx="3">
                  <c:v>0.2</c:v>
                </c:pt>
                <c:pt idx="4">
                  <c:v>0.4</c:v>
                </c:pt>
                <c:pt idx="5">
                  <c:v>0.5</c:v>
                </c:pt>
                <c:pt idx="6">
                  <c:v>0.9</c:v>
                </c:pt>
                <c:pt idx="7">
                  <c:v>0.9</c:v>
                </c:pt>
                <c:pt idx="8">
                  <c:v>30</c:v>
                </c:pt>
              </c:numCache>
            </c:numRef>
          </c:xVal>
          <c:yVal>
            <c:numRef>
              <c:f>'Volt ride-thru'!$F$44:$N$44</c:f>
              <c:numCache>
                <c:formatCode>General</c:formatCode>
                <c:ptCount val="9"/>
                <c:pt idx="0">
                  <c:v>1.3</c:v>
                </c:pt>
                <c:pt idx="1">
                  <c:v>1.3</c:v>
                </c:pt>
                <c:pt idx="2">
                  <c:v>1.26</c:v>
                </c:pt>
                <c:pt idx="3">
                  <c:v>1.2250000000000001</c:v>
                </c:pt>
                <c:pt idx="4">
                  <c:v>1.21</c:v>
                </c:pt>
                <c:pt idx="5">
                  <c:v>1.19</c:v>
                </c:pt>
                <c:pt idx="6">
                  <c:v>1.18</c:v>
                </c:pt>
                <c:pt idx="7">
                  <c:v>1.1000000000000001</c:v>
                </c:pt>
                <c:pt idx="8">
                  <c:v>1.1000000000000001</c:v>
                </c:pt>
              </c:numCache>
            </c:numRef>
          </c:yVal>
          <c:smooth val="0"/>
          <c:extLst>
            <c:ext xmlns:c16="http://schemas.microsoft.com/office/drawing/2014/chart" uri="{C3380CC4-5D6E-409C-BE32-E72D297353CC}">
              <c16:uniqueId val="{00000003-B001-4AB7-8B4F-91E0C996FF73}"/>
            </c:ext>
          </c:extLst>
        </c:ser>
        <c:ser>
          <c:idx val="4"/>
          <c:order val="4"/>
          <c:spPr>
            <a:ln w="44450">
              <a:solidFill>
                <a:srgbClr val="FFC000"/>
              </a:solidFill>
            </a:ln>
          </c:spPr>
          <c:marker>
            <c:symbol val="star"/>
            <c:size val="3"/>
            <c:spPr>
              <a:solidFill>
                <a:srgbClr val="FFC000"/>
              </a:solidFill>
              <a:ln w="44450">
                <a:solidFill>
                  <a:srgbClr val="FFC000"/>
                </a:solidFill>
              </a:ln>
            </c:spPr>
          </c:marker>
          <c:xVal>
            <c:numRef>
              <c:f>'Volt ride-thru'!$F$40:$N$40</c:f>
              <c:numCache>
                <c:formatCode>General</c:formatCode>
                <c:ptCount val="9"/>
                <c:pt idx="0">
                  <c:v>0.43</c:v>
                </c:pt>
                <c:pt idx="1">
                  <c:v>0.43</c:v>
                </c:pt>
                <c:pt idx="2">
                  <c:v>2</c:v>
                </c:pt>
                <c:pt idx="3">
                  <c:v>2</c:v>
                </c:pt>
                <c:pt idx="4">
                  <c:v>10</c:v>
                </c:pt>
                <c:pt idx="5">
                  <c:v>10</c:v>
                </c:pt>
                <c:pt idx="6">
                  <c:v>30</c:v>
                </c:pt>
              </c:numCache>
            </c:numRef>
          </c:xVal>
          <c:yVal>
            <c:numRef>
              <c:f>'Volt ride-thru'!$F$41:$N$41</c:f>
              <c:numCache>
                <c:formatCode>General</c:formatCode>
                <c:ptCount val="9"/>
                <c:pt idx="0">
                  <c:v>0</c:v>
                </c:pt>
                <c:pt idx="1">
                  <c:v>0.7</c:v>
                </c:pt>
                <c:pt idx="2">
                  <c:v>0.7</c:v>
                </c:pt>
                <c:pt idx="3">
                  <c:v>0.8</c:v>
                </c:pt>
                <c:pt idx="4">
                  <c:v>0.8</c:v>
                </c:pt>
                <c:pt idx="5">
                  <c:v>0.9</c:v>
                </c:pt>
                <c:pt idx="6">
                  <c:v>0.9</c:v>
                </c:pt>
              </c:numCache>
            </c:numRef>
          </c:yVal>
          <c:smooth val="0"/>
          <c:extLst>
            <c:ext xmlns:c16="http://schemas.microsoft.com/office/drawing/2014/chart" uri="{C3380CC4-5D6E-409C-BE32-E72D297353CC}">
              <c16:uniqueId val="{00000004-B001-4AB7-8B4F-91E0C996FF73}"/>
            </c:ext>
          </c:extLst>
        </c:ser>
        <c:ser>
          <c:idx val="5"/>
          <c:order val="5"/>
          <c:tx>
            <c:v>FRT deadband</c:v>
          </c:tx>
          <c:spPr>
            <a:ln>
              <a:solidFill>
                <a:srgbClr val="00B050"/>
              </a:solidFill>
              <a:prstDash val="sysDash"/>
            </a:ln>
          </c:spPr>
          <c:marker>
            <c:symbol val="circle"/>
            <c:size val="3"/>
            <c:spPr>
              <a:solidFill>
                <a:srgbClr val="00B050"/>
              </a:solidFill>
              <a:ln>
                <a:solidFill>
                  <a:srgbClr val="00B050"/>
                </a:solidFill>
                <a:prstDash val="sysDash"/>
              </a:ln>
            </c:spPr>
          </c:marker>
          <c:xVal>
            <c:numRef>
              <c:f>'Volt ride-thru'!$F$50:$G$50</c:f>
              <c:numCache>
                <c:formatCode>General</c:formatCode>
                <c:ptCount val="2"/>
                <c:pt idx="0">
                  <c:v>0.01</c:v>
                </c:pt>
                <c:pt idx="1">
                  <c:v>30</c:v>
                </c:pt>
              </c:numCache>
            </c:numRef>
          </c:xVal>
          <c:yVal>
            <c:numRef>
              <c:f>'Volt ride-thru'!$F$51:$G$51</c:f>
              <c:numCache>
                <c:formatCode>General</c:formatCode>
                <c:ptCount val="2"/>
                <c:pt idx="0" formatCode="0.00">
                  <c:v>1.25</c:v>
                </c:pt>
                <c:pt idx="1">
                  <c:v>1.25</c:v>
                </c:pt>
              </c:numCache>
            </c:numRef>
          </c:yVal>
          <c:smooth val="0"/>
          <c:extLst>
            <c:ext xmlns:c16="http://schemas.microsoft.com/office/drawing/2014/chart" uri="{C3380CC4-5D6E-409C-BE32-E72D297353CC}">
              <c16:uniqueId val="{00000005-B001-4AB7-8B4F-91E0C996FF73}"/>
            </c:ext>
          </c:extLst>
        </c:ser>
        <c:ser>
          <c:idx val="6"/>
          <c:order val="6"/>
          <c:spPr>
            <a:ln>
              <a:solidFill>
                <a:srgbClr val="00B050"/>
              </a:solidFill>
            </a:ln>
          </c:spPr>
          <c:marker>
            <c:symbol val="plus"/>
            <c:size val="3"/>
            <c:spPr>
              <a:solidFill>
                <a:srgbClr val="00B050"/>
              </a:solidFill>
              <a:ln>
                <a:solidFill>
                  <a:srgbClr val="00B050"/>
                </a:solidFill>
              </a:ln>
            </c:spPr>
          </c:marker>
          <c:xVal>
            <c:numRef>
              <c:f>'Volt ride-thru'!$F$53:$G$53</c:f>
              <c:numCache>
                <c:formatCode>General</c:formatCode>
                <c:ptCount val="2"/>
                <c:pt idx="0">
                  <c:v>0.01</c:v>
                </c:pt>
                <c:pt idx="1">
                  <c:v>30</c:v>
                </c:pt>
              </c:numCache>
            </c:numRef>
          </c:xVal>
          <c:yVal>
            <c:numRef>
              <c:f>'Volt ride-thru'!$F$54:$G$54</c:f>
              <c:numCache>
                <c:formatCode>General</c:formatCode>
                <c:ptCount val="2"/>
                <c:pt idx="0" formatCode="0.00">
                  <c:v>0.75</c:v>
                </c:pt>
                <c:pt idx="1">
                  <c:v>0.75</c:v>
                </c:pt>
              </c:numCache>
            </c:numRef>
          </c:yVal>
          <c:smooth val="0"/>
          <c:extLst>
            <c:ext xmlns:c16="http://schemas.microsoft.com/office/drawing/2014/chart" uri="{C3380CC4-5D6E-409C-BE32-E72D297353CC}">
              <c16:uniqueId val="{00000006-B001-4AB7-8B4F-91E0C996FF73}"/>
            </c:ext>
          </c:extLst>
        </c:ser>
        <c:ser>
          <c:idx val="7"/>
          <c:order val="7"/>
          <c:tx>
            <c:v>Proposed Settings</c:v>
          </c:tx>
          <c:spPr>
            <a:ln w="19050">
              <a:solidFill>
                <a:srgbClr val="0070C0"/>
              </a:solidFill>
            </a:ln>
          </c:spPr>
          <c:marker>
            <c:symbol val="dot"/>
            <c:size val="3"/>
            <c:spPr>
              <a:solidFill>
                <a:srgbClr val="0070C0"/>
              </a:solidFill>
              <a:ln w="19050">
                <a:solidFill>
                  <a:srgbClr val="0070C0"/>
                </a:solidFill>
              </a:ln>
            </c:spPr>
          </c:marker>
          <c:xVal>
            <c:numRef>
              <c:f>'Volt ride-thru'!$G$30:$L$30</c:f>
              <c:numCache>
                <c:formatCode>General</c:formatCode>
                <c:ptCount val="6"/>
                <c:pt idx="0">
                  <c:v>0.01</c:v>
                </c:pt>
                <c:pt idx="1">
                  <c:v>0.5</c:v>
                </c:pt>
                <c:pt idx="2">
                  <c:v>0.5</c:v>
                </c:pt>
                <c:pt idx="3">
                  <c:v>1</c:v>
                </c:pt>
                <c:pt idx="4">
                  <c:v>1</c:v>
                </c:pt>
                <c:pt idx="5">
                  <c:v>30</c:v>
                </c:pt>
              </c:numCache>
            </c:numRef>
          </c:xVal>
          <c:yVal>
            <c:numRef>
              <c:f>'Volt ride-thru'!$G$31:$L$31</c:f>
              <c:numCache>
                <c:formatCode>General</c:formatCode>
                <c:ptCount val="6"/>
                <c:pt idx="0">
                  <c:v>1.32</c:v>
                </c:pt>
                <c:pt idx="1">
                  <c:v>1.32</c:v>
                </c:pt>
                <c:pt idx="2">
                  <c:v>1.22</c:v>
                </c:pt>
                <c:pt idx="3">
                  <c:v>1.22</c:v>
                </c:pt>
                <c:pt idx="4">
                  <c:v>1.1200000000000001</c:v>
                </c:pt>
                <c:pt idx="5">
                  <c:v>1.1200000000000001</c:v>
                </c:pt>
              </c:numCache>
            </c:numRef>
          </c:yVal>
          <c:smooth val="0"/>
          <c:extLst>
            <c:ext xmlns:c16="http://schemas.microsoft.com/office/drawing/2014/chart" uri="{C3380CC4-5D6E-409C-BE32-E72D297353CC}">
              <c16:uniqueId val="{00000007-B001-4AB7-8B4F-91E0C996FF73}"/>
            </c:ext>
          </c:extLst>
        </c:ser>
        <c:ser>
          <c:idx val="8"/>
          <c:order val="8"/>
          <c:spPr>
            <a:ln w="19050">
              <a:solidFill>
                <a:srgbClr val="0070C0"/>
              </a:solidFill>
            </a:ln>
          </c:spPr>
          <c:marker>
            <c:symbol val="dash"/>
            <c:size val="3"/>
            <c:spPr>
              <a:solidFill>
                <a:srgbClr val="0070C0"/>
              </a:solidFill>
              <a:ln w="19050">
                <a:solidFill>
                  <a:srgbClr val="0070C0"/>
                </a:solidFill>
              </a:ln>
            </c:spPr>
          </c:marker>
          <c:xVal>
            <c:numRef>
              <c:f>'Volt ride-thru'!$F$32:$L$32</c:f>
              <c:numCache>
                <c:formatCode>General</c:formatCode>
                <c:ptCount val="7"/>
                <c:pt idx="0">
                  <c:v>0.5</c:v>
                </c:pt>
                <c:pt idx="1">
                  <c:v>0.5</c:v>
                </c:pt>
                <c:pt idx="2">
                  <c:v>2.1</c:v>
                </c:pt>
                <c:pt idx="3">
                  <c:v>2.1</c:v>
                </c:pt>
                <c:pt idx="4">
                  <c:v>10.5</c:v>
                </c:pt>
                <c:pt idx="5">
                  <c:v>10.5</c:v>
                </c:pt>
                <c:pt idx="6">
                  <c:v>30</c:v>
                </c:pt>
              </c:numCache>
            </c:numRef>
          </c:xVal>
          <c:yVal>
            <c:numRef>
              <c:f>'Volt ride-thru'!$F$33:$L$33</c:f>
              <c:numCache>
                <c:formatCode>General</c:formatCode>
                <c:ptCount val="7"/>
                <c:pt idx="0">
                  <c:v>0</c:v>
                </c:pt>
                <c:pt idx="1">
                  <c:v>0.68</c:v>
                </c:pt>
                <c:pt idx="2">
                  <c:v>0.68</c:v>
                </c:pt>
                <c:pt idx="3">
                  <c:v>0.78</c:v>
                </c:pt>
                <c:pt idx="4">
                  <c:v>0.78</c:v>
                </c:pt>
                <c:pt idx="5">
                  <c:v>0.88</c:v>
                </c:pt>
                <c:pt idx="6">
                  <c:v>0.88</c:v>
                </c:pt>
              </c:numCache>
            </c:numRef>
          </c:yVal>
          <c:smooth val="0"/>
          <c:extLst>
            <c:ext xmlns:c16="http://schemas.microsoft.com/office/drawing/2014/chart" uri="{C3380CC4-5D6E-409C-BE32-E72D297353CC}">
              <c16:uniqueId val="{00000008-B001-4AB7-8B4F-91E0C996FF73}"/>
            </c:ext>
          </c:extLst>
        </c:ser>
        <c:dLbls>
          <c:showLegendKey val="0"/>
          <c:showVal val="0"/>
          <c:showCatName val="0"/>
          <c:showSerName val="0"/>
          <c:showPercent val="0"/>
          <c:showBubbleSize val="0"/>
        </c:dLbls>
        <c:axId val="97065216"/>
        <c:axId val="97083776"/>
      </c:scatterChart>
      <c:valAx>
        <c:axId val="97065216"/>
        <c:scaling>
          <c:logBase val="10"/>
          <c:orientation val="minMax"/>
          <c:max val="30"/>
        </c:scaling>
        <c:delete val="0"/>
        <c:axPos val="b"/>
        <c:numFmt formatCode="General" sourceLinked="1"/>
        <c:majorTickMark val="out"/>
        <c:minorTickMark val="cross"/>
        <c:tickLblPos val="nextTo"/>
        <c:crossAx val="97083776"/>
        <c:crosses val="autoZero"/>
        <c:crossBetween val="midCat"/>
      </c:valAx>
      <c:valAx>
        <c:axId val="97083776"/>
        <c:scaling>
          <c:orientation val="minMax"/>
        </c:scaling>
        <c:delete val="0"/>
        <c:axPos val="l"/>
        <c:majorGridlines/>
        <c:numFmt formatCode="General" sourceLinked="1"/>
        <c:majorTickMark val="out"/>
        <c:minorTickMark val="none"/>
        <c:tickLblPos val="nextTo"/>
        <c:crossAx val="97065216"/>
        <c:crossesAt val="9.9999999999999995E-8"/>
        <c:crossBetween val="midCat"/>
      </c:valAx>
    </c:plotArea>
    <c:legend>
      <c:legendPos val="r"/>
      <c:legendEntry>
        <c:idx val="1"/>
        <c:delete val="1"/>
      </c:legendEntry>
      <c:legendEntry>
        <c:idx val="2"/>
        <c:delete val="1"/>
      </c:legendEntry>
      <c:legendEntry>
        <c:idx val="4"/>
        <c:delete val="1"/>
      </c:legendEntry>
      <c:legendEntry>
        <c:idx val="6"/>
        <c:delete val="1"/>
      </c:legendEntry>
      <c:legendEntry>
        <c:idx val="8"/>
        <c:delete val="1"/>
      </c:legendEntry>
      <c:overlay val="0"/>
    </c:legend>
    <c:plotVisOnly val="1"/>
    <c:dispBlanksAs val="gap"/>
    <c:showDLblsOverMax val="0"/>
  </c:chart>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Recommended Settings</a:t>
            </a:r>
            <a:endParaRPr lang="en-US" baseline="0"/>
          </a:p>
        </c:rich>
      </c:tx>
      <c:layout>
        <c:manualLayout>
          <c:xMode val="edge"/>
          <c:yMode val="edge"/>
          <c:x val="0.39761023100032483"/>
          <c:y val="2.0900404522898035E-2"/>
        </c:manualLayout>
      </c:layout>
      <c:overlay val="0"/>
      <c:spPr>
        <a:noFill/>
        <a:ln>
          <a:noFill/>
        </a:ln>
        <a:effectLst/>
      </c:spPr>
    </c:title>
    <c:autoTitleDeleted val="0"/>
    <c:plotArea>
      <c:layout>
        <c:manualLayout>
          <c:layoutTarget val="inner"/>
          <c:xMode val="edge"/>
          <c:yMode val="edge"/>
          <c:x val="3.7598641346302301E-2"/>
          <c:y val="0.10335076020599809"/>
          <c:w val="0.93799351551644283"/>
          <c:h val="0.62336782139810498"/>
        </c:manualLayout>
      </c:layout>
      <c:scatterChart>
        <c:scatterStyle val="lineMarker"/>
        <c:varyColors val="0"/>
        <c:ser>
          <c:idx val="2"/>
          <c:order val="0"/>
          <c:tx>
            <c:strRef>
              <c:f>'Freq ride-thru'!$E$7</c:f>
              <c:strCache>
                <c:ptCount val="1"/>
                <c:pt idx="0">
                  <c:v>SC2x00 max capability</c:v>
                </c:pt>
              </c:strCache>
            </c:strRef>
          </c:tx>
          <c:spPr>
            <a:ln w="57150" cap="rnd">
              <a:solidFill>
                <a:srgbClr val="FF0000"/>
              </a:solidFill>
              <a:round/>
            </a:ln>
            <a:effectLst/>
          </c:spPr>
          <c:marker>
            <c:symbol val="circle"/>
            <c:size val="5"/>
            <c:spPr>
              <a:noFill/>
              <a:ln w="9525">
                <a:noFill/>
              </a:ln>
              <a:effectLst/>
            </c:spPr>
          </c:marker>
          <c:xVal>
            <c:numRef>
              <c:f>'Freq ride-thru'!$F$7:$J$7</c:f>
              <c:numCache>
                <c:formatCode>General</c:formatCode>
                <c:ptCount val="5"/>
                <c:pt idx="1">
                  <c:v>0.01</c:v>
                </c:pt>
                <c:pt idx="2">
                  <c:v>60</c:v>
                </c:pt>
                <c:pt idx="3">
                  <c:v>60</c:v>
                </c:pt>
                <c:pt idx="4">
                  <c:v>1000</c:v>
                </c:pt>
              </c:numCache>
            </c:numRef>
          </c:xVal>
          <c:yVal>
            <c:numRef>
              <c:f>'Freq ride-thru'!$F$8:$J$8</c:f>
              <c:numCache>
                <c:formatCode>General</c:formatCode>
                <c:ptCount val="5"/>
                <c:pt idx="1">
                  <c:v>55</c:v>
                </c:pt>
                <c:pt idx="2">
                  <c:v>55</c:v>
                </c:pt>
                <c:pt idx="3">
                  <c:v>53</c:v>
                </c:pt>
                <c:pt idx="4">
                  <c:v>53</c:v>
                </c:pt>
              </c:numCache>
            </c:numRef>
          </c:yVal>
          <c:smooth val="0"/>
          <c:extLst>
            <c:ext xmlns:c16="http://schemas.microsoft.com/office/drawing/2014/chart" uri="{C3380CC4-5D6E-409C-BE32-E72D297353CC}">
              <c16:uniqueId val="{00000000-01AB-4A34-AE8A-9819AA9C1852}"/>
            </c:ext>
          </c:extLst>
        </c:ser>
        <c:ser>
          <c:idx val="3"/>
          <c:order val="1"/>
          <c:tx>
            <c:strRef>
              <c:f>'Freq ride-thru'!$E$7</c:f>
              <c:strCache>
                <c:ptCount val="1"/>
                <c:pt idx="0">
                  <c:v>SC2x00 max capability</c:v>
                </c:pt>
              </c:strCache>
            </c:strRef>
          </c:tx>
          <c:spPr>
            <a:ln w="57150" cap="rnd">
              <a:solidFill>
                <a:srgbClr val="FF0000"/>
              </a:solidFill>
              <a:round/>
            </a:ln>
            <a:effectLst/>
          </c:spPr>
          <c:marker>
            <c:symbol val="none"/>
          </c:marker>
          <c:xVal>
            <c:numRef>
              <c:f>'Freq ride-thru'!$F$10:$J$10</c:f>
              <c:numCache>
                <c:formatCode>General</c:formatCode>
                <c:ptCount val="5"/>
                <c:pt idx="1">
                  <c:v>0.01</c:v>
                </c:pt>
                <c:pt idx="2">
                  <c:v>60</c:v>
                </c:pt>
                <c:pt idx="3">
                  <c:v>60</c:v>
                </c:pt>
                <c:pt idx="4">
                  <c:v>1000</c:v>
                </c:pt>
              </c:numCache>
            </c:numRef>
          </c:xVal>
          <c:yVal>
            <c:numRef>
              <c:f>'Freq ride-thru'!$F$11:$J$11</c:f>
              <c:numCache>
                <c:formatCode>General</c:formatCode>
                <c:ptCount val="5"/>
                <c:pt idx="1">
                  <c:v>45</c:v>
                </c:pt>
                <c:pt idx="2">
                  <c:v>45</c:v>
                </c:pt>
                <c:pt idx="3">
                  <c:v>47</c:v>
                </c:pt>
                <c:pt idx="4">
                  <c:v>47</c:v>
                </c:pt>
              </c:numCache>
            </c:numRef>
          </c:yVal>
          <c:smooth val="0"/>
          <c:extLst>
            <c:ext xmlns:c16="http://schemas.microsoft.com/office/drawing/2014/chart" uri="{C3380CC4-5D6E-409C-BE32-E72D297353CC}">
              <c16:uniqueId val="{00000001-01AB-4A34-AE8A-9819AA9C1852}"/>
            </c:ext>
          </c:extLst>
        </c:ser>
        <c:ser>
          <c:idx val="4"/>
          <c:order val="2"/>
          <c:tx>
            <c:strRef>
              <c:f>'Freq ride-thru'!$E$13</c:f>
              <c:strCache>
                <c:ptCount val="1"/>
                <c:pt idx="0">
                  <c:v>NER S5.2.5.3</c:v>
                </c:pt>
              </c:strCache>
            </c:strRef>
          </c:tx>
          <c:spPr>
            <a:ln w="44450" cap="rnd">
              <a:solidFill>
                <a:srgbClr val="FFC000"/>
              </a:solidFill>
              <a:round/>
            </a:ln>
            <a:effectLst/>
          </c:spPr>
          <c:marker>
            <c:symbol val="circle"/>
            <c:size val="5"/>
            <c:spPr>
              <a:noFill/>
              <a:ln w="9525">
                <a:noFill/>
              </a:ln>
              <a:effectLst/>
            </c:spPr>
          </c:marker>
          <c:xVal>
            <c:numRef>
              <c:f>'Freq ride-thru'!$F$13:$K$13</c:f>
              <c:numCache>
                <c:formatCode>General</c:formatCode>
                <c:ptCount val="6"/>
                <c:pt idx="0">
                  <c:v>0.01</c:v>
                </c:pt>
                <c:pt idx="1">
                  <c:v>120</c:v>
                </c:pt>
                <c:pt idx="2">
                  <c:v>120</c:v>
                </c:pt>
                <c:pt idx="3">
                  <c:v>600</c:v>
                </c:pt>
                <c:pt idx="4">
                  <c:v>600</c:v>
                </c:pt>
                <c:pt idx="5">
                  <c:v>1000</c:v>
                </c:pt>
              </c:numCache>
            </c:numRef>
          </c:xVal>
          <c:yVal>
            <c:numRef>
              <c:f>'Freq ride-thru'!$F$14:$K$14</c:f>
              <c:numCache>
                <c:formatCode>General</c:formatCode>
                <c:ptCount val="6"/>
                <c:pt idx="0">
                  <c:v>52</c:v>
                </c:pt>
                <c:pt idx="1">
                  <c:v>52</c:v>
                </c:pt>
                <c:pt idx="2">
                  <c:v>51</c:v>
                </c:pt>
                <c:pt idx="3">
                  <c:v>51</c:v>
                </c:pt>
                <c:pt idx="4">
                  <c:v>50.5</c:v>
                </c:pt>
                <c:pt idx="5">
                  <c:v>50.5</c:v>
                </c:pt>
              </c:numCache>
            </c:numRef>
          </c:yVal>
          <c:smooth val="0"/>
          <c:extLst>
            <c:ext xmlns:c16="http://schemas.microsoft.com/office/drawing/2014/chart" uri="{C3380CC4-5D6E-409C-BE32-E72D297353CC}">
              <c16:uniqueId val="{00000002-01AB-4A34-AE8A-9819AA9C1852}"/>
            </c:ext>
          </c:extLst>
        </c:ser>
        <c:ser>
          <c:idx val="5"/>
          <c:order val="3"/>
          <c:tx>
            <c:strRef>
              <c:f>'Freq ride-thru'!$E$13</c:f>
              <c:strCache>
                <c:ptCount val="1"/>
                <c:pt idx="0">
                  <c:v>NER S5.2.5.3</c:v>
                </c:pt>
              </c:strCache>
            </c:strRef>
          </c:tx>
          <c:spPr>
            <a:ln w="44450" cap="rnd">
              <a:solidFill>
                <a:srgbClr val="FFC000"/>
              </a:solidFill>
              <a:round/>
            </a:ln>
            <a:effectLst/>
          </c:spPr>
          <c:marker>
            <c:symbol val="circle"/>
            <c:size val="5"/>
            <c:spPr>
              <a:noFill/>
              <a:ln w="9525">
                <a:noFill/>
              </a:ln>
              <a:effectLst/>
            </c:spPr>
          </c:marker>
          <c:xVal>
            <c:numRef>
              <c:f>'Freq ride-thru'!$F$16:$K$16</c:f>
              <c:numCache>
                <c:formatCode>General</c:formatCode>
                <c:ptCount val="6"/>
                <c:pt idx="0">
                  <c:v>0.01</c:v>
                </c:pt>
                <c:pt idx="1">
                  <c:v>120</c:v>
                </c:pt>
                <c:pt idx="2">
                  <c:v>120</c:v>
                </c:pt>
                <c:pt idx="3">
                  <c:v>600</c:v>
                </c:pt>
                <c:pt idx="4">
                  <c:v>600</c:v>
                </c:pt>
                <c:pt idx="5">
                  <c:v>1000</c:v>
                </c:pt>
              </c:numCache>
            </c:numRef>
          </c:xVal>
          <c:yVal>
            <c:numRef>
              <c:f>'Freq ride-thru'!$F$17:$K$17</c:f>
              <c:numCache>
                <c:formatCode>General</c:formatCode>
                <c:ptCount val="6"/>
                <c:pt idx="0">
                  <c:v>47</c:v>
                </c:pt>
                <c:pt idx="1">
                  <c:v>47</c:v>
                </c:pt>
                <c:pt idx="2">
                  <c:v>49</c:v>
                </c:pt>
                <c:pt idx="3">
                  <c:v>49</c:v>
                </c:pt>
                <c:pt idx="4">
                  <c:v>49.5</c:v>
                </c:pt>
                <c:pt idx="5">
                  <c:v>49.5</c:v>
                </c:pt>
              </c:numCache>
            </c:numRef>
          </c:yVal>
          <c:smooth val="0"/>
          <c:extLst>
            <c:ext xmlns:c16="http://schemas.microsoft.com/office/drawing/2014/chart" uri="{C3380CC4-5D6E-409C-BE32-E72D297353CC}">
              <c16:uniqueId val="{00000003-01AB-4A34-AE8A-9819AA9C1852}"/>
            </c:ext>
          </c:extLst>
        </c:ser>
        <c:ser>
          <c:idx val="0"/>
          <c:order val="4"/>
          <c:tx>
            <c:strRef>
              <c:f>'Freq ride-thru'!$E$1</c:f>
              <c:strCache>
                <c:ptCount val="1"/>
                <c:pt idx="0">
                  <c:v>Proposed Setting</c:v>
                </c:pt>
              </c:strCache>
            </c:strRef>
          </c:tx>
          <c:spPr>
            <a:ln w="19050" cap="rnd">
              <a:solidFill>
                <a:srgbClr val="0070C0"/>
              </a:solidFill>
              <a:round/>
            </a:ln>
            <a:effectLst/>
          </c:spPr>
          <c:marker>
            <c:symbol val="circle"/>
            <c:size val="5"/>
            <c:spPr>
              <a:noFill/>
              <a:ln w="9525">
                <a:noFill/>
              </a:ln>
              <a:effectLst/>
            </c:spPr>
          </c:marker>
          <c:xVal>
            <c:numRef>
              <c:f>'Freq ride-thru'!$F$1:$K$1</c:f>
              <c:numCache>
                <c:formatCode>General</c:formatCode>
                <c:ptCount val="6"/>
                <c:pt idx="0">
                  <c:v>0.01</c:v>
                </c:pt>
                <c:pt idx="1">
                  <c:v>120</c:v>
                </c:pt>
                <c:pt idx="2">
                  <c:v>120</c:v>
                </c:pt>
                <c:pt idx="3">
                  <c:v>600</c:v>
                </c:pt>
                <c:pt idx="4">
                  <c:v>600</c:v>
                </c:pt>
                <c:pt idx="5">
                  <c:v>1000</c:v>
                </c:pt>
              </c:numCache>
            </c:numRef>
          </c:xVal>
          <c:yVal>
            <c:numRef>
              <c:f>'Freq ride-thru'!$F$2:$K$2</c:f>
              <c:numCache>
                <c:formatCode>General</c:formatCode>
                <c:ptCount val="6"/>
                <c:pt idx="0">
                  <c:v>52</c:v>
                </c:pt>
                <c:pt idx="1">
                  <c:v>52</c:v>
                </c:pt>
                <c:pt idx="2">
                  <c:v>51</c:v>
                </c:pt>
                <c:pt idx="3">
                  <c:v>51</c:v>
                </c:pt>
                <c:pt idx="4">
                  <c:v>50.5</c:v>
                </c:pt>
                <c:pt idx="5">
                  <c:v>50.5</c:v>
                </c:pt>
              </c:numCache>
            </c:numRef>
          </c:yVal>
          <c:smooth val="0"/>
          <c:extLst>
            <c:ext xmlns:c16="http://schemas.microsoft.com/office/drawing/2014/chart" uri="{C3380CC4-5D6E-409C-BE32-E72D297353CC}">
              <c16:uniqueId val="{00000004-01AB-4A34-AE8A-9819AA9C1852}"/>
            </c:ext>
          </c:extLst>
        </c:ser>
        <c:ser>
          <c:idx val="1"/>
          <c:order val="5"/>
          <c:tx>
            <c:strRef>
              <c:f>'Freq ride-thru'!$E$1</c:f>
              <c:strCache>
                <c:ptCount val="1"/>
                <c:pt idx="0">
                  <c:v>Proposed Setting</c:v>
                </c:pt>
              </c:strCache>
            </c:strRef>
          </c:tx>
          <c:spPr>
            <a:ln w="19050" cap="rnd">
              <a:solidFill>
                <a:srgbClr val="0070C0"/>
              </a:solidFill>
              <a:round/>
            </a:ln>
            <a:effectLst/>
          </c:spPr>
          <c:marker>
            <c:symbol val="circle"/>
            <c:size val="5"/>
            <c:spPr>
              <a:noFill/>
              <a:ln w="9525">
                <a:noFill/>
              </a:ln>
              <a:effectLst/>
            </c:spPr>
          </c:marker>
          <c:xVal>
            <c:numRef>
              <c:f>'Freq ride-thru'!$F$4:$K$4</c:f>
              <c:numCache>
                <c:formatCode>General</c:formatCode>
                <c:ptCount val="6"/>
                <c:pt idx="0">
                  <c:v>0.01</c:v>
                </c:pt>
                <c:pt idx="1">
                  <c:v>120</c:v>
                </c:pt>
                <c:pt idx="2">
                  <c:v>120</c:v>
                </c:pt>
                <c:pt idx="3">
                  <c:v>600</c:v>
                </c:pt>
                <c:pt idx="4">
                  <c:v>600</c:v>
                </c:pt>
                <c:pt idx="5">
                  <c:v>1000</c:v>
                </c:pt>
              </c:numCache>
            </c:numRef>
          </c:xVal>
          <c:yVal>
            <c:numRef>
              <c:f>'Freq ride-thru'!$F$5:$K$5</c:f>
              <c:numCache>
                <c:formatCode>General</c:formatCode>
                <c:ptCount val="6"/>
                <c:pt idx="0">
                  <c:v>47</c:v>
                </c:pt>
                <c:pt idx="1">
                  <c:v>47</c:v>
                </c:pt>
                <c:pt idx="2">
                  <c:v>49</c:v>
                </c:pt>
                <c:pt idx="3">
                  <c:v>49</c:v>
                </c:pt>
                <c:pt idx="4">
                  <c:v>49.5</c:v>
                </c:pt>
                <c:pt idx="5">
                  <c:v>49.5</c:v>
                </c:pt>
              </c:numCache>
            </c:numRef>
          </c:yVal>
          <c:smooth val="0"/>
          <c:extLst>
            <c:ext xmlns:c16="http://schemas.microsoft.com/office/drawing/2014/chart" uri="{C3380CC4-5D6E-409C-BE32-E72D297353CC}">
              <c16:uniqueId val="{00000005-01AB-4A34-AE8A-9819AA9C1852}"/>
            </c:ext>
          </c:extLst>
        </c:ser>
        <c:dLbls>
          <c:showLegendKey val="0"/>
          <c:showVal val="0"/>
          <c:showCatName val="0"/>
          <c:showSerName val="0"/>
          <c:showPercent val="0"/>
          <c:showBubbleSize val="0"/>
        </c:dLbls>
        <c:axId val="98329344"/>
        <c:axId val="98331264"/>
      </c:scatterChart>
      <c:valAx>
        <c:axId val="98329344"/>
        <c:scaling>
          <c:logBase val="10"/>
          <c:orientation val="minMax"/>
          <c:max val="1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cross"/>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31264"/>
        <c:crosses val="autoZero"/>
        <c:crossBetween val="midCat"/>
      </c:valAx>
      <c:valAx>
        <c:axId val="98331264"/>
        <c:scaling>
          <c:orientation val="minMax"/>
          <c:max val="60"/>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29344"/>
        <c:crossesAt val="9.9999999999999995E-8"/>
        <c:crossBetween val="midCat"/>
      </c:valAx>
      <c:spPr>
        <a:noFill/>
        <a:ln>
          <a:noFill/>
        </a:ln>
        <a:effectLst/>
      </c:spPr>
    </c:plotArea>
    <c:legend>
      <c:legendPos val="b"/>
      <c:legendEntry>
        <c:idx val="1"/>
        <c:delete val="1"/>
      </c:legendEntry>
      <c:legendEntry>
        <c:idx val="3"/>
        <c:delete val="1"/>
      </c:legendEntry>
      <c:legendEntry>
        <c:idx val="5"/>
        <c:delete val="1"/>
      </c:legendEntry>
      <c:layout>
        <c:manualLayout>
          <c:xMode val="edge"/>
          <c:yMode val="edge"/>
          <c:x val="5.4312428593484639E-2"/>
          <c:y val="0.79693319806078144"/>
          <c:w val="0.89137501929905816"/>
          <c:h val="0.1863478868344467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Frequency Ride-Through - Recommended Settings</a:t>
            </a:r>
          </a:p>
        </c:rich>
      </c:tx>
      <c:overlay val="0"/>
    </c:title>
    <c:autoTitleDeleted val="0"/>
    <c:plotArea>
      <c:layout/>
      <c:scatterChart>
        <c:scatterStyle val="lineMarker"/>
        <c:varyColors val="0"/>
        <c:ser>
          <c:idx val="0"/>
          <c:order val="0"/>
          <c:tx>
            <c:v>SC2x00 max Capability</c:v>
          </c:tx>
          <c:spPr>
            <a:ln w="57150">
              <a:solidFill>
                <a:srgbClr val="FF0000"/>
              </a:solidFill>
            </a:ln>
          </c:spPr>
          <c:marker>
            <c:symbol val="diamond"/>
            <c:size val="3"/>
            <c:spPr>
              <a:solidFill>
                <a:srgbClr val="FF0000"/>
              </a:solidFill>
              <a:ln w="57150">
                <a:solidFill>
                  <a:srgbClr val="FF0000"/>
                </a:solidFill>
              </a:ln>
            </c:spPr>
          </c:marker>
          <c:xVal>
            <c:numRef>
              <c:f>'Freq ride-thru'!$F$7:$J$7</c:f>
              <c:numCache>
                <c:formatCode>General</c:formatCode>
                <c:ptCount val="5"/>
                <c:pt idx="1">
                  <c:v>0.01</c:v>
                </c:pt>
                <c:pt idx="2">
                  <c:v>60</c:v>
                </c:pt>
                <c:pt idx="3">
                  <c:v>60</c:v>
                </c:pt>
                <c:pt idx="4">
                  <c:v>1000</c:v>
                </c:pt>
              </c:numCache>
            </c:numRef>
          </c:xVal>
          <c:yVal>
            <c:numRef>
              <c:f>'Freq ride-thru'!$F$8:$J$8</c:f>
              <c:numCache>
                <c:formatCode>General</c:formatCode>
                <c:ptCount val="5"/>
                <c:pt idx="1">
                  <c:v>55</c:v>
                </c:pt>
                <c:pt idx="2">
                  <c:v>55</c:v>
                </c:pt>
                <c:pt idx="3">
                  <c:v>53</c:v>
                </c:pt>
                <c:pt idx="4">
                  <c:v>53</c:v>
                </c:pt>
              </c:numCache>
            </c:numRef>
          </c:yVal>
          <c:smooth val="0"/>
          <c:extLst>
            <c:ext xmlns:c16="http://schemas.microsoft.com/office/drawing/2014/chart" uri="{C3380CC4-5D6E-409C-BE32-E72D297353CC}">
              <c16:uniqueId val="{00000000-D7F1-4A3E-9838-1B612AFFBA21}"/>
            </c:ext>
          </c:extLst>
        </c:ser>
        <c:ser>
          <c:idx val="1"/>
          <c:order val="1"/>
          <c:spPr>
            <a:ln w="57150">
              <a:solidFill>
                <a:srgbClr val="FF0000"/>
              </a:solidFill>
            </a:ln>
          </c:spPr>
          <c:marker>
            <c:symbol val="square"/>
            <c:size val="3"/>
            <c:spPr>
              <a:solidFill>
                <a:srgbClr val="FF0000"/>
              </a:solidFill>
              <a:ln w="57150">
                <a:solidFill>
                  <a:srgbClr val="FF0000"/>
                </a:solidFill>
              </a:ln>
            </c:spPr>
          </c:marker>
          <c:xVal>
            <c:numRef>
              <c:f>'Freq ride-thru'!$F$10:$J$10</c:f>
              <c:numCache>
                <c:formatCode>General</c:formatCode>
                <c:ptCount val="5"/>
                <c:pt idx="1">
                  <c:v>0.01</c:v>
                </c:pt>
                <c:pt idx="2">
                  <c:v>60</c:v>
                </c:pt>
                <c:pt idx="3">
                  <c:v>60</c:v>
                </c:pt>
                <c:pt idx="4">
                  <c:v>1000</c:v>
                </c:pt>
              </c:numCache>
            </c:numRef>
          </c:xVal>
          <c:yVal>
            <c:numRef>
              <c:f>'Freq ride-thru'!$F$11:$J$11</c:f>
              <c:numCache>
                <c:formatCode>General</c:formatCode>
                <c:ptCount val="5"/>
                <c:pt idx="1">
                  <c:v>45</c:v>
                </c:pt>
                <c:pt idx="2">
                  <c:v>45</c:v>
                </c:pt>
                <c:pt idx="3">
                  <c:v>47</c:v>
                </c:pt>
                <c:pt idx="4">
                  <c:v>47</c:v>
                </c:pt>
              </c:numCache>
            </c:numRef>
          </c:yVal>
          <c:smooth val="0"/>
          <c:extLst>
            <c:ext xmlns:c16="http://schemas.microsoft.com/office/drawing/2014/chart" uri="{C3380CC4-5D6E-409C-BE32-E72D297353CC}">
              <c16:uniqueId val="{00000001-D7F1-4A3E-9838-1B612AFFBA21}"/>
            </c:ext>
          </c:extLst>
        </c:ser>
        <c:ser>
          <c:idx val="2"/>
          <c:order val="2"/>
          <c:tx>
            <c:v>NER S5.2.5.3</c:v>
          </c:tx>
          <c:spPr>
            <a:ln w="44450">
              <a:solidFill>
                <a:srgbClr val="FFC000"/>
              </a:solidFill>
            </a:ln>
          </c:spPr>
          <c:marker>
            <c:symbol val="triangle"/>
            <c:size val="3"/>
            <c:spPr>
              <a:solidFill>
                <a:srgbClr val="FFC000"/>
              </a:solidFill>
              <a:ln w="44450">
                <a:solidFill>
                  <a:srgbClr val="FFC000"/>
                </a:solidFill>
              </a:ln>
            </c:spPr>
          </c:marker>
          <c:xVal>
            <c:numRef>
              <c:f>'Freq ride-thru'!$F$13:$K$13</c:f>
              <c:numCache>
                <c:formatCode>General</c:formatCode>
                <c:ptCount val="6"/>
                <c:pt idx="0">
                  <c:v>0.01</c:v>
                </c:pt>
                <c:pt idx="1">
                  <c:v>120</c:v>
                </c:pt>
                <c:pt idx="2">
                  <c:v>120</c:v>
                </c:pt>
                <c:pt idx="3">
                  <c:v>600</c:v>
                </c:pt>
                <c:pt idx="4">
                  <c:v>600</c:v>
                </c:pt>
                <c:pt idx="5">
                  <c:v>1000</c:v>
                </c:pt>
              </c:numCache>
            </c:numRef>
          </c:xVal>
          <c:yVal>
            <c:numRef>
              <c:f>'Freq ride-thru'!$F$14:$K$14</c:f>
              <c:numCache>
                <c:formatCode>General</c:formatCode>
                <c:ptCount val="6"/>
                <c:pt idx="0">
                  <c:v>52</c:v>
                </c:pt>
                <c:pt idx="1">
                  <c:v>52</c:v>
                </c:pt>
                <c:pt idx="2">
                  <c:v>51</c:v>
                </c:pt>
                <c:pt idx="3">
                  <c:v>51</c:v>
                </c:pt>
                <c:pt idx="4">
                  <c:v>50.5</c:v>
                </c:pt>
                <c:pt idx="5">
                  <c:v>50.5</c:v>
                </c:pt>
              </c:numCache>
            </c:numRef>
          </c:yVal>
          <c:smooth val="0"/>
          <c:extLst>
            <c:ext xmlns:c16="http://schemas.microsoft.com/office/drawing/2014/chart" uri="{C3380CC4-5D6E-409C-BE32-E72D297353CC}">
              <c16:uniqueId val="{00000002-D7F1-4A3E-9838-1B612AFFBA21}"/>
            </c:ext>
          </c:extLst>
        </c:ser>
        <c:ser>
          <c:idx val="3"/>
          <c:order val="3"/>
          <c:spPr>
            <a:ln w="44450">
              <a:solidFill>
                <a:srgbClr val="FFC000"/>
              </a:solidFill>
            </a:ln>
          </c:spPr>
          <c:marker>
            <c:symbol val="x"/>
            <c:size val="3"/>
            <c:spPr>
              <a:solidFill>
                <a:srgbClr val="FFC000"/>
              </a:solidFill>
              <a:ln w="44450">
                <a:solidFill>
                  <a:srgbClr val="FFC000"/>
                </a:solidFill>
              </a:ln>
            </c:spPr>
          </c:marker>
          <c:xVal>
            <c:numRef>
              <c:f>'Freq ride-thru'!$F$16:$K$16</c:f>
              <c:numCache>
                <c:formatCode>General</c:formatCode>
                <c:ptCount val="6"/>
                <c:pt idx="0">
                  <c:v>0.01</c:v>
                </c:pt>
                <c:pt idx="1">
                  <c:v>120</c:v>
                </c:pt>
                <c:pt idx="2">
                  <c:v>120</c:v>
                </c:pt>
                <c:pt idx="3">
                  <c:v>600</c:v>
                </c:pt>
                <c:pt idx="4">
                  <c:v>600</c:v>
                </c:pt>
                <c:pt idx="5">
                  <c:v>1000</c:v>
                </c:pt>
              </c:numCache>
            </c:numRef>
          </c:xVal>
          <c:yVal>
            <c:numRef>
              <c:f>'Freq ride-thru'!$F$17:$K$17</c:f>
              <c:numCache>
                <c:formatCode>General</c:formatCode>
                <c:ptCount val="6"/>
                <c:pt idx="0">
                  <c:v>47</c:v>
                </c:pt>
                <c:pt idx="1">
                  <c:v>47</c:v>
                </c:pt>
                <c:pt idx="2">
                  <c:v>49</c:v>
                </c:pt>
                <c:pt idx="3">
                  <c:v>49</c:v>
                </c:pt>
                <c:pt idx="4">
                  <c:v>49.5</c:v>
                </c:pt>
                <c:pt idx="5">
                  <c:v>49.5</c:v>
                </c:pt>
              </c:numCache>
            </c:numRef>
          </c:yVal>
          <c:smooth val="0"/>
          <c:extLst>
            <c:ext xmlns:c16="http://schemas.microsoft.com/office/drawing/2014/chart" uri="{C3380CC4-5D6E-409C-BE32-E72D297353CC}">
              <c16:uniqueId val="{00000003-D7F1-4A3E-9838-1B612AFFBA21}"/>
            </c:ext>
          </c:extLst>
        </c:ser>
        <c:ser>
          <c:idx val="4"/>
          <c:order val="4"/>
          <c:tx>
            <c:v>Proposed Settings</c:v>
          </c:tx>
          <c:spPr>
            <a:ln w="19050">
              <a:solidFill>
                <a:srgbClr val="0070C0"/>
              </a:solidFill>
            </a:ln>
          </c:spPr>
          <c:marker>
            <c:symbol val="star"/>
            <c:size val="3"/>
            <c:spPr>
              <a:solidFill>
                <a:srgbClr val="0070C0"/>
              </a:solidFill>
              <a:ln w="19050">
                <a:solidFill>
                  <a:srgbClr val="0070C0"/>
                </a:solidFill>
              </a:ln>
            </c:spPr>
          </c:marker>
          <c:xVal>
            <c:numRef>
              <c:f>'Freq ride-thru'!$F$1:$K$1</c:f>
              <c:numCache>
                <c:formatCode>General</c:formatCode>
                <c:ptCount val="6"/>
                <c:pt idx="0">
                  <c:v>0.01</c:v>
                </c:pt>
                <c:pt idx="1">
                  <c:v>120</c:v>
                </c:pt>
                <c:pt idx="2">
                  <c:v>120</c:v>
                </c:pt>
                <c:pt idx="3">
                  <c:v>600</c:v>
                </c:pt>
                <c:pt idx="4">
                  <c:v>600</c:v>
                </c:pt>
                <c:pt idx="5">
                  <c:v>1000</c:v>
                </c:pt>
              </c:numCache>
            </c:numRef>
          </c:xVal>
          <c:yVal>
            <c:numRef>
              <c:f>'Freq ride-thru'!$F$2:$K$2</c:f>
              <c:numCache>
                <c:formatCode>General</c:formatCode>
                <c:ptCount val="6"/>
                <c:pt idx="0">
                  <c:v>52</c:v>
                </c:pt>
                <c:pt idx="1">
                  <c:v>52</c:v>
                </c:pt>
                <c:pt idx="2">
                  <c:v>51</c:v>
                </c:pt>
                <c:pt idx="3">
                  <c:v>51</c:v>
                </c:pt>
                <c:pt idx="4">
                  <c:v>50.5</c:v>
                </c:pt>
                <c:pt idx="5">
                  <c:v>50.5</c:v>
                </c:pt>
              </c:numCache>
            </c:numRef>
          </c:yVal>
          <c:smooth val="0"/>
          <c:extLst>
            <c:ext xmlns:c16="http://schemas.microsoft.com/office/drawing/2014/chart" uri="{C3380CC4-5D6E-409C-BE32-E72D297353CC}">
              <c16:uniqueId val="{00000004-D7F1-4A3E-9838-1B612AFFBA21}"/>
            </c:ext>
          </c:extLst>
        </c:ser>
        <c:ser>
          <c:idx val="5"/>
          <c:order val="5"/>
          <c:spPr>
            <a:ln w="19050">
              <a:solidFill>
                <a:srgbClr val="0070C0"/>
              </a:solidFill>
            </a:ln>
          </c:spPr>
          <c:marker>
            <c:symbol val="circle"/>
            <c:size val="3"/>
            <c:spPr>
              <a:solidFill>
                <a:srgbClr val="0070C0"/>
              </a:solidFill>
              <a:ln w="19050">
                <a:solidFill>
                  <a:srgbClr val="0070C0"/>
                </a:solidFill>
              </a:ln>
            </c:spPr>
          </c:marker>
          <c:xVal>
            <c:numRef>
              <c:f>'Freq ride-thru'!$F$4:$K$4</c:f>
              <c:numCache>
                <c:formatCode>General</c:formatCode>
                <c:ptCount val="6"/>
                <c:pt idx="0">
                  <c:v>0.01</c:v>
                </c:pt>
                <c:pt idx="1">
                  <c:v>120</c:v>
                </c:pt>
                <c:pt idx="2">
                  <c:v>120</c:v>
                </c:pt>
                <c:pt idx="3">
                  <c:v>600</c:v>
                </c:pt>
                <c:pt idx="4">
                  <c:v>600</c:v>
                </c:pt>
                <c:pt idx="5">
                  <c:v>1000</c:v>
                </c:pt>
              </c:numCache>
            </c:numRef>
          </c:xVal>
          <c:yVal>
            <c:numRef>
              <c:f>'Freq ride-thru'!$F$5:$K$5</c:f>
              <c:numCache>
                <c:formatCode>General</c:formatCode>
                <c:ptCount val="6"/>
                <c:pt idx="0">
                  <c:v>47</c:v>
                </c:pt>
                <c:pt idx="1">
                  <c:v>47</c:v>
                </c:pt>
                <c:pt idx="2">
                  <c:v>49</c:v>
                </c:pt>
                <c:pt idx="3">
                  <c:v>49</c:v>
                </c:pt>
                <c:pt idx="4">
                  <c:v>49.5</c:v>
                </c:pt>
                <c:pt idx="5">
                  <c:v>49.5</c:v>
                </c:pt>
              </c:numCache>
            </c:numRef>
          </c:yVal>
          <c:smooth val="0"/>
          <c:extLst>
            <c:ext xmlns:c16="http://schemas.microsoft.com/office/drawing/2014/chart" uri="{C3380CC4-5D6E-409C-BE32-E72D297353CC}">
              <c16:uniqueId val="{00000005-D7F1-4A3E-9838-1B612AFFBA21}"/>
            </c:ext>
          </c:extLst>
        </c:ser>
        <c:dLbls>
          <c:showLegendKey val="0"/>
          <c:showVal val="0"/>
          <c:showCatName val="0"/>
          <c:showSerName val="0"/>
          <c:showPercent val="0"/>
          <c:showBubbleSize val="0"/>
        </c:dLbls>
        <c:axId val="100999552"/>
        <c:axId val="101001472"/>
      </c:scatterChart>
      <c:valAx>
        <c:axId val="100999552"/>
        <c:scaling>
          <c:logBase val="10"/>
          <c:orientation val="minMax"/>
          <c:max val="1000"/>
        </c:scaling>
        <c:delete val="0"/>
        <c:axPos val="b"/>
        <c:numFmt formatCode="General" sourceLinked="1"/>
        <c:majorTickMark val="out"/>
        <c:minorTickMark val="cross"/>
        <c:tickLblPos val="nextTo"/>
        <c:crossAx val="101001472"/>
        <c:crosses val="autoZero"/>
        <c:crossBetween val="midCat"/>
      </c:valAx>
      <c:valAx>
        <c:axId val="101001472"/>
        <c:scaling>
          <c:orientation val="minMax"/>
          <c:max val="60"/>
          <c:min val="40"/>
        </c:scaling>
        <c:delete val="0"/>
        <c:axPos val="l"/>
        <c:majorGridlines/>
        <c:numFmt formatCode="General" sourceLinked="1"/>
        <c:majorTickMark val="out"/>
        <c:minorTickMark val="none"/>
        <c:tickLblPos val="nextTo"/>
        <c:crossAx val="100999552"/>
        <c:crossesAt val="9.9999999999999995E-8"/>
        <c:crossBetween val="midCat"/>
      </c:valAx>
    </c:plotArea>
    <c:legend>
      <c:legendPos val="r"/>
      <c:legendEntry>
        <c:idx val="1"/>
        <c:delete val="1"/>
      </c:legendEntry>
      <c:legendEntry>
        <c:idx val="3"/>
        <c:delete val="1"/>
      </c:legendEntry>
      <c:legendEntry>
        <c:idx val="5"/>
        <c:delete val="1"/>
      </c:legendEntry>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3</xdr:row>
          <xdr:rowOff>76200</xdr:rowOff>
        </xdr:from>
        <xdr:to>
          <xdr:col>3</xdr:col>
          <xdr:colOff>342900</xdr:colOff>
          <xdr:row>6</xdr:row>
          <xdr:rowOff>28575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571500</xdr:colOff>
          <xdr:row>3</xdr:row>
          <xdr:rowOff>66675</xdr:rowOff>
        </xdr:from>
        <xdr:to>
          <xdr:col>7</xdr:col>
          <xdr:colOff>190500</xdr:colOff>
          <xdr:row>6</xdr:row>
          <xdr:rowOff>19050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15</xdr:col>
      <xdr:colOff>403411</xdr:colOff>
      <xdr:row>0</xdr:row>
      <xdr:rowOff>190501</xdr:rowOff>
    </xdr:from>
    <xdr:to>
      <xdr:col>26</xdr:col>
      <xdr:colOff>581278</xdr:colOff>
      <xdr:row>24</xdr:row>
      <xdr:rowOff>11207</xdr:rowOff>
    </xdr:to>
    <xdr:graphicFrame macro="">
      <xdr:nvGraphicFramePr>
        <xdr:cNvPr id="3" name="Chart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414618</xdr:colOff>
      <xdr:row>29</xdr:row>
      <xdr:rowOff>179293</xdr:rowOff>
    </xdr:from>
    <xdr:to>
      <xdr:col>27</xdr:col>
      <xdr:colOff>155455</xdr:colOff>
      <xdr:row>53</xdr:row>
      <xdr:rowOff>56029</xdr:rowOff>
    </xdr:to>
    <xdr:graphicFrame macro="">
      <xdr:nvGraphicFramePr>
        <xdr:cNvPr id="7" name="Chart 1">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171450</xdr:rowOff>
        </xdr:from>
        <xdr:to>
          <xdr:col>3</xdr:col>
          <xdr:colOff>266700</xdr:colOff>
          <xdr:row>7</xdr:row>
          <xdr:rowOff>47625</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700-00000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000000"/>
                  </a:solidFill>
                  <a:latin typeface="Calibri"/>
                  <a:cs typeface="Calibri"/>
                </a:rPr>
                <a:t>Recommended</a:t>
              </a:r>
            </a:p>
            <a:p>
              <a:pPr algn="ctr" rtl="0">
                <a:defRPr sz="1000"/>
              </a:pPr>
              <a:r>
                <a:rPr lang="en-AU" sz="1400" b="1" i="0" u="none" strike="noStrike" baseline="0">
                  <a:solidFill>
                    <a:srgbClr val="000000"/>
                  </a:solidFill>
                  <a:latin typeface="Calibri"/>
                  <a:cs typeface="Calibri"/>
                </a:rPr>
                <a:t>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7</xdr:row>
          <xdr:rowOff>180975</xdr:rowOff>
        </xdr:from>
        <xdr:to>
          <xdr:col>3</xdr:col>
          <xdr:colOff>314325</xdr:colOff>
          <xdr:row>14</xdr:row>
          <xdr:rowOff>76200</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700-00000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000000"/>
                  </a:solidFill>
                  <a:latin typeface="Calibri"/>
                  <a:cs typeface="Calibri"/>
                </a:rPr>
                <a:t>Customer Seleted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15</xdr:row>
          <xdr:rowOff>133350</xdr:rowOff>
        </xdr:from>
        <xdr:to>
          <xdr:col>3</xdr:col>
          <xdr:colOff>304800</xdr:colOff>
          <xdr:row>22</xdr:row>
          <xdr:rowOff>28575</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700-00000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000000"/>
                  </a:solidFill>
                  <a:latin typeface="Calibri"/>
                  <a:cs typeface="Calibri"/>
                </a:rPr>
                <a:t>Imported </a:t>
              </a:r>
            </a:p>
            <a:p>
              <a:pPr algn="ctr" rtl="0">
                <a:defRPr sz="1000"/>
              </a:pPr>
              <a:r>
                <a:rPr lang="en-AU" sz="1400" b="1" i="0" u="none" strike="noStrike" baseline="0">
                  <a:solidFill>
                    <a:srgbClr val="000000"/>
                  </a:solidFill>
                  <a:latin typeface="Calibri"/>
                  <a:cs typeface="Calibri"/>
                </a:rPr>
                <a:t>Settings</a:t>
              </a:r>
            </a:p>
          </xdr:txBody>
        </xdr:sp>
        <xdr:clientData fPrintsWithSheet="0"/>
      </xdr:twoCellAnchor>
    </mc:Choice>
    <mc:Fallback/>
  </mc:AlternateContent>
  <xdr:twoCellAnchor>
    <xdr:from>
      <xdr:col>5</xdr:col>
      <xdr:colOff>0</xdr:colOff>
      <xdr:row>1</xdr:row>
      <xdr:rowOff>0</xdr:rowOff>
    </xdr:from>
    <xdr:to>
      <xdr:col>20</xdr:col>
      <xdr:colOff>0</xdr:colOff>
      <xdr:row>24</xdr:row>
      <xdr:rowOff>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0.63056</cdr:x>
      <cdr:y>0.57681</cdr:y>
    </cdr:from>
    <cdr:to>
      <cdr:x>0.81111</cdr:x>
      <cdr:y>0.77971</cdr:y>
    </cdr:to>
    <cdr:sp macro="" textlink="">
      <cdr:nvSpPr>
        <cdr:cNvPr id="2" name="TextBox 1"/>
        <cdr:cNvSpPr txBox="1"/>
      </cdr:nvSpPr>
      <cdr:spPr>
        <a:xfrm xmlns:a="http://schemas.openxmlformats.org/drawingml/2006/main">
          <a:off x="5765800" y="2527300"/>
          <a:ext cx="1651000" cy="889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indent="0"/>
          <a:r>
            <a:rPr lang="en-AU" sz="900"/>
            <a:t>Limited cooling;SC2x00 is capable to ride through with eventually Reduced output</a:t>
          </a:r>
        </a:p>
      </cdr:txBody>
    </cdr:sp>
  </cdr:relSizeAnchor>
</c:userShapes>
</file>

<file path=xl/drawings/drawing5.xml><?xml version="1.0" encoding="utf-8"?>
<xdr:wsDr xmlns:xdr="http://schemas.openxmlformats.org/drawingml/2006/spreadsheetDrawing" xmlns:a="http://schemas.openxmlformats.org/drawingml/2006/main">
  <xdr:twoCellAnchor>
    <xdr:from>
      <xdr:col>11</xdr:col>
      <xdr:colOff>57150</xdr:colOff>
      <xdr:row>1</xdr:row>
      <xdr:rowOff>66675</xdr:rowOff>
    </xdr:from>
    <xdr:to>
      <xdr:col>24</xdr:col>
      <xdr:colOff>228600</xdr:colOff>
      <xdr:row>25</xdr:row>
      <xdr:rowOff>33337</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1</xdr:row>
          <xdr:rowOff>180975</xdr:rowOff>
        </xdr:from>
        <xdr:to>
          <xdr:col>3</xdr:col>
          <xdr:colOff>123825</xdr:colOff>
          <xdr:row>7</xdr:row>
          <xdr:rowOff>47625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200" b="1" i="0" u="none" strike="noStrike" baseline="0">
                  <a:solidFill>
                    <a:srgbClr val="000000"/>
                  </a:solidFill>
                  <a:latin typeface="Calibri"/>
                  <a:cs typeface="Calibri"/>
                </a:rPr>
                <a:t>Recommended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9</xdr:row>
          <xdr:rowOff>9525</xdr:rowOff>
        </xdr:from>
        <xdr:to>
          <xdr:col>3</xdr:col>
          <xdr:colOff>123825</xdr:colOff>
          <xdr:row>14</xdr:row>
          <xdr:rowOff>66675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200" b="1" i="0" u="none" strike="noStrike" baseline="0">
                  <a:solidFill>
                    <a:srgbClr val="000000"/>
                  </a:solidFill>
                  <a:latin typeface="Calibri"/>
                  <a:cs typeface="Calibri"/>
                </a:rPr>
                <a:t>Customer's </a:t>
              </a:r>
            </a:p>
            <a:p>
              <a:pPr algn="ctr" rtl="0">
                <a:defRPr sz="1000"/>
              </a:pPr>
              <a:r>
                <a:rPr lang="en-AU" sz="1200" b="1" i="0" u="none" strike="noStrike" baseline="0">
                  <a:solidFill>
                    <a:srgbClr val="000000"/>
                  </a:solidFill>
                  <a:latin typeface="Calibri"/>
                  <a:cs typeface="Calibri"/>
                </a:rPr>
                <a:t>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16</xdr:row>
          <xdr:rowOff>28575</xdr:rowOff>
        </xdr:from>
        <xdr:to>
          <xdr:col>3</xdr:col>
          <xdr:colOff>123825</xdr:colOff>
          <xdr:row>21</xdr:row>
          <xdr:rowOff>85725</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200" b="1" i="0" u="none" strike="noStrike" baseline="0">
                  <a:solidFill>
                    <a:srgbClr val="000000"/>
                  </a:solidFill>
                  <a:latin typeface="Calibri"/>
                  <a:cs typeface="Calibri"/>
                </a:rPr>
                <a:t>Imported </a:t>
              </a:r>
            </a:p>
            <a:p>
              <a:pPr algn="ctr" rtl="0">
                <a:defRPr sz="1000"/>
              </a:pPr>
              <a:r>
                <a:rPr lang="en-AU" sz="1200" b="1" i="0" u="none" strike="noStrike" baseline="0">
                  <a:solidFill>
                    <a:srgbClr val="000000"/>
                  </a:solidFill>
                  <a:latin typeface="Calibri"/>
                  <a:cs typeface="Calibri"/>
                </a:rPr>
                <a:t>Settings</a:t>
              </a:r>
            </a:p>
          </xdr:txBody>
        </xdr:sp>
        <xdr:clientData fPrintsWithSheet="0"/>
      </xdr:twoCellAnchor>
    </mc:Choice>
    <mc:Fallback/>
  </mc:AlternateContent>
  <xdr:twoCellAnchor>
    <xdr:from>
      <xdr:col>5</xdr:col>
      <xdr:colOff>0</xdr:colOff>
      <xdr:row>1</xdr:row>
      <xdr:rowOff>0</xdr:rowOff>
    </xdr:from>
    <xdr:to>
      <xdr:col>20</xdr:col>
      <xdr:colOff>0</xdr:colOff>
      <xdr:row>24</xdr:row>
      <xdr:rowOff>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I22"/>
  <sheetViews>
    <sheetView workbookViewId="0">
      <selection activeCell="H10" sqref="H10"/>
    </sheetView>
  </sheetViews>
  <sheetFormatPr defaultColWidth="0" defaultRowHeight="15" zeroHeight="1"/>
  <cols>
    <col min="1" max="9" width="9.140625" customWidth="1"/>
    <col min="10" max="16384" width="9.140625" hidden="1"/>
  </cols>
  <sheetData>
    <row r="1" spans="1:9">
      <c r="A1" s="123"/>
      <c r="B1" s="123"/>
      <c r="C1" s="123"/>
      <c r="D1" s="123"/>
      <c r="E1" s="123"/>
      <c r="F1" s="123"/>
      <c r="G1" s="123"/>
      <c r="H1" s="123"/>
      <c r="I1" s="123"/>
    </row>
    <row r="2" spans="1:9">
      <c r="A2" s="123"/>
      <c r="B2" s="123"/>
      <c r="C2" s="123"/>
      <c r="D2" s="123"/>
      <c r="E2" s="123"/>
      <c r="F2" s="123"/>
      <c r="G2" s="123"/>
      <c r="H2" s="123"/>
      <c r="I2" s="123"/>
    </row>
    <row r="3" spans="1:9">
      <c r="A3" s="123"/>
      <c r="B3" s="123"/>
      <c r="C3" s="123"/>
      <c r="D3" s="123"/>
      <c r="E3" s="123"/>
      <c r="F3" s="123"/>
      <c r="G3" s="123"/>
      <c r="H3" s="123"/>
      <c r="I3" s="123"/>
    </row>
    <row r="4" spans="1:9">
      <c r="A4" s="123"/>
      <c r="B4" s="123"/>
      <c r="C4" s="123"/>
      <c r="D4" s="123"/>
      <c r="E4" s="123"/>
      <c r="F4" s="123"/>
      <c r="G4" s="123"/>
      <c r="H4" s="123"/>
      <c r="I4" s="123"/>
    </row>
    <row r="5" spans="1:9">
      <c r="A5" s="123"/>
      <c r="B5" s="123"/>
      <c r="C5" s="123"/>
      <c r="D5" s="123"/>
      <c r="E5" s="123"/>
      <c r="F5" s="123"/>
      <c r="G5" s="123"/>
      <c r="H5" s="123"/>
      <c r="I5" s="123"/>
    </row>
    <row r="6" spans="1:9">
      <c r="A6" s="123"/>
      <c r="B6" s="123"/>
      <c r="C6" s="123"/>
      <c r="D6" s="123"/>
      <c r="E6" s="123"/>
      <c r="F6" s="123"/>
      <c r="G6" s="123"/>
      <c r="H6" s="123"/>
      <c r="I6" s="123"/>
    </row>
    <row r="7" spans="1:9">
      <c r="A7" s="123"/>
      <c r="B7" s="123"/>
      <c r="C7" s="123"/>
      <c r="D7" s="123"/>
      <c r="E7" s="123"/>
      <c r="F7" s="123"/>
      <c r="G7" s="123"/>
      <c r="H7" s="123"/>
      <c r="I7" s="123"/>
    </row>
    <row r="8" spans="1:9">
      <c r="A8" s="123"/>
      <c r="B8" s="123"/>
      <c r="C8" s="123"/>
      <c r="D8" s="123"/>
      <c r="E8" s="123"/>
      <c r="F8" s="123"/>
      <c r="G8" s="123"/>
      <c r="H8" s="123"/>
      <c r="I8" s="123"/>
    </row>
    <row r="9" spans="1:9">
      <c r="A9" s="123"/>
      <c r="B9" s="123"/>
      <c r="C9" s="123"/>
      <c r="D9" s="123"/>
      <c r="E9" s="123"/>
      <c r="F9" s="123"/>
      <c r="G9" s="123"/>
      <c r="H9" s="123"/>
      <c r="I9" s="123"/>
    </row>
    <row r="10" spans="1:9">
      <c r="A10" s="123"/>
      <c r="B10" s="123"/>
      <c r="C10" s="123"/>
      <c r="D10" s="123"/>
      <c r="E10" s="123"/>
      <c r="F10" s="123"/>
      <c r="G10" s="123"/>
      <c r="H10" s="123"/>
      <c r="I10" s="123"/>
    </row>
    <row r="11" spans="1:9">
      <c r="A11" s="123"/>
      <c r="B11" s="123"/>
      <c r="C11" s="123"/>
      <c r="D11" s="123"/>
      <c r="E11" s="123"/>
      <c r="F11" s="123"/>
      <c r="G11" s="123"/>
      <c r="H11" s="123"/>
      <c r="I11" s="123"/>
    </row>
    <row r="22" ht="8.25" hidden="1" customHeight="1"/>
  </sheetData>
  <sheetProtection algorithmName="SHA-512" hashValue="tXnA/stlHMRPEq9JncwswK6ClXMBIPO6FNnJYju+I0X5Yl9LpQxB2CW6veCzQzpwQa0Hf2WYttmlRY20GHtmlg==" saltValue="UsQ11xwZlbjiF7BDQlM0zw==" spinCount="100000" sheet="1" objects="1" scenarios="1" selectLockedCells="1" selectUnlockedCell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Module2.Import">
                <anchor moveWithCells="1" sizeWithCells="1">
                  <from>
                    <xdr:col>1</xdr:col>
                    <xdr:colOff>114300</xdr:colOff>
                    <xdr:row>3</xdr:row>
                    <xdr:rowOff>76200</xdr:rowOff>
                  </from>
                  <to>
                    <xdr:col>3</xdr:col>
                    <xdr:colOff>342900</xdr:colOff>
                    <xdr:row>6</xdr:row>
                    <xdr:rowOff>28575</xdr:rowOff>
                  </to>
                </anchor>
              </controlPr>
            </control>
          </mc:Choice>
        </mc:AlternateContent>
        <mc:AlternateContent xmlns:mc="http://schemas.openxmlformats.org/markup-compatibility/2006">
          <mc:Choice Requires="x14">
            <control shapeId="5122" r:id="rId5" name="Button 2">
              <controlPr defaultSize="0" print="0" autoFill="0" autoPict="0" macro="[0]!Export">
                <anchor moveWithCells="1" sizeWithCells="1">
                  <from>
                    <xdr:col>4</xdr:col>
                    <xdr:colOff>571500</xdr:colOff>
                    <xdr:row>3</xdr:row>
                    <xdr:rowOff>66675</xdr:rowOff>
                  </from>
                  <to>
                    <xdr:col>7</xdr:col>
                    <xdr:colOff>190500</xdr:colOff>
                    <xdr:row>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J178"/>
  <sheetViews>
    <sheetView topLeftCell="A86" workbookViewId="0">
      <selection activeCell="B70" sqref="B70"/>
    </sheetView>
  </sheetViews>
  <sheetFormatPr defaultColWidth="0" defaultRowHeight="15"/>
  <cols>
    <col min="1" max="1" width="9.140625" customWidth="1"/>
    <col min="2" max="2" width="56.140625" customWidth="1"/>
    <col min="3" max="4" width="9.140625" customWidth="1"/>
    <col min="5" max="5" width="11" bestFit="1" customWidth="1"/>
    <col min="6" max="6" width="9.140625" customWidth="1"/>
    <col min="7" max="7" width="48.85546875" customWidth="1"/>
    <col min="8" max="9" width="9.140625" customWidth="1"/>
    <col min="10" max="10" width="11.28515625" bestFit="1" customWidth="1"/>
    <col min="11" max="16384" width="9.140625" hidden="1"/>
  </cols>
  <sheetData>
    <row r="1" spans="1:10" ht="15" customHeight="1">
      <c r="A1" s="230" t="s">
        <v>291</v>
      </c>
      <c r="B1" s="207" t="s">
        <v>290</v>
      </c>
      <c r="C1" s="84"/>
      <c r="D1" s="84"/>
      <c r="E1" s="84"/>
      <c r="F1" s="84"/>
      <c r="G1" s="84"/>
      <c r="H1" s="84"/>
      <c r="I1" s="84"/>
      <c r="J1" s="205"/>
    </row>
    <row r="2" spans="1:10" ht="201.75" customHeight="1">
      <c r="A2" s="231"/>
      <c r="B2" s="79" t="s">
        <v>507</v>
      </c>
      <c r="G2" s="79" t="s">
        <v>338</v>
      </c>
      <c r="H2" s="80"/>
      <c r="I2" s="80"/>
      <c r="J2" s="206"/>
    </row>
    <row r="3" spans="1:10">
      <c r="A3" s="231"/>
      <c r="B3" t="str">
        <f>TRIM(CLEAN(B2))</f>
        <v>100 'USRMDL' 1 'SMASC131' 1 1 0 76 15 193 1 1 0 0.8 1 1 1 0 0.3 1 0 5 0.5 2 0 0.9 0.5 1 0.9 0.9 1 0.5 0.05 0.2 1 2 2 2 2.5 2.5 0.25 0.25 0.25 0.25 0.03 0.03 0.01 0 20 0 0 0 0 0.15 0.1 1.32 0 1.22 0.5 1.12 1 0.88 10.5 0.78 2.1 0.68 0.5 52 0 51 120 50.5 600 49.5 600 49 120 47 0 30 1 10 30 0 0 1/</v>
      </c>
      <c r="G3" t="str">
        <f>TRIM(CLEAN(G2))</f>
        <v>80400 'USRMDL' 1 'SMAPPC18' 4 0 4 28 9 21 80100 54040 1 0 2 0 5 0.04 0 0 5 0.04 0 0 1 0 20 -0.17 0 5 0.04 0 1 0.2 0.2 0.8 0.8 0.82 1.2 1.18 0.2 1/</v>
      </c>
      <c r="J3" s="206"/>
    </row>
    <row r="4" spans="1:10" ht="15" customHeight="1">
      <c r="A4" s="231"/>
      <c r="C4">
        <v>1</v>
      </c>
      <c r="D4">
        <f>SEARCH(" ",$B$3,C4)</f>
        <v>4</v>
      </c>
      <c r="E4">
        <f>VALUE(VALUE(MID($B$3,C4,D4-C4)))</f>
        <v>100</v>
      </c>
      <c r="H4">
        <f>1</f>
        <v>1</v>
      </c>
      <c r="I4">
        <f>SEARCH(" ",$G$3,H4)</f>
        <v>6</v>
      </c>
      <c r="J4" s="206">
        <f>VALUE(MID($G$3,H4,I4-H4))</f>
        <v>80400</v>
      </c>
    </row>
    <row r="5" spans="1:10">
      <c r="A5" s="231"/>
      <c r="C5">
        <f>D4+1</f>
        <v>5</v>
      </c>
      <c r="D5">
        <f t="shared" ref="D5:D68" si="0">SEARCH(" ",$B$3,C5)</f>
        <v>13</v>
      </c>
      <c r="E5" t="str">
        <f>(MID($B$3,C5,D5-C5))</f>
        <v>'USRMDL'</v>
      </c>
      <c r="H5">
        <f>I4+1</f>
        <v>7</v>
      </c>
      <c r="I5">
        <f>SEARCH(" ",$G$3,H5)</f>
        <v>15</v>
      </c>
      <c r="J5" s="206" t="str">
        <f>MID($G$3,H5,I5-H5)</f>
        <v>'USRMDL'</v>
      </c>
    </row>
    <row r="6" spans="1:10">
      <c r="A6" s="231"/>
      <c r="C6">
        <f t="shared" ref="C6:C69" si="1">D5+1</f>
        <v>14</v>
      </c>
      <c r="D6">
        <f t="shared" si="0"/>
        <v>15</v>
      </c>
      <c r="E6">
        <f>VALUE(MID($B$3,C6,D6-C6))</f>
        <v>1</v>
      </c>
      <c r="H6">
        <f t="shared" ref="H6:H45" si="2">I5+1</f>
        <v>16</v>
      </c>
      <c r="I6">
        <f t="shared" ref="I6:I44" si="3">SEARCH(" ",$G$3,H6)</f>
        <v>17</v>
      </c>
      <c r="J6" s="206">
        <f>VALUE(MID($G$3,H6,I6-H6))</f>
        <v>1</v>
      </c>
    </row>
    <row r="7" spans="1:10">
      <c r="A7" s="231"/>
      <c r="C7">
        <f t="shared" si="1"/>
        <v>16</v>
      </c>
      <c r="D7">
        <f t="shared" si="0"/>
        <v>26</v>
      </c>
      <c r="E7" t="str">
        <f t="shared" ref="E7" si="4">(MID($B$3,C7,D7-C7))</f>
        <v>'SMASC131'</v>
      </c>
      <c r="H7">
        <f t="shared" si="2"/>
        <v>18</v>
      </c>
      <c r="I7">
        <f t="shared" si="3"/>
        <v>28</v>
      </c>
      <c r="J7" s="206" t="str">
        <f t="shared" ref="J7" si="5">MID($G$3,H7,I7-H7)</f>
        <v>'SMAPPC18'</v>
      </c>
    </row>
    <row r="8" spans="1:10">
      <c r="A8" s="231"/>
      <c r="C8">
        <f t="shared" si="1"/>
        <v>27</v>
      </c>
      <c r="D8">
        <f t="shared" si="0"/>
        <v>28</v>
      </c>
      <c r="E8">
        <f>VALUE(MID($B$3,C8,D8-C8))</f>
        <v>1</v>
      </c>
      <c r="H8">
        <f t="shared" si="2"/>
        <v>29</v>
      </c>
      <c r="I8">
        <f t="shared" si="3"/>
        <v>30</v>
      </c>
      <c r="J8" s="206">
        <f>VALUE(MID($G$3,H8,I8-H8))</f>
        <v>4</v>
      </c>
    </row>
    <row r="9" spans="1:10">
      <c r="A9" s="231"/>
      <c r="C9">
        <f t="shared" si="1"/>
        <v>29</v>
      </c>
      <c r="D9">
        <f t="shared" si="0"/>
        <v>30</v>
      </c>
      <c r="E9">
        <f t="shared" ref="E9:E72" si="6">VALUE(MID($B$3,C9,D9-C9))</f>
        <v>1</v>
      </c>
      <c r="H9">
        <f t="shared" si="2"/>
        <v>31</v>
      </c>
      <c r="I9">
        <f t="shared" si="3"/>
        <v>32</v>
      </c>
      <c r="J9" s="206">
        <f t="shared" ref="J9:J45" si="7">VALUE(MID($G$3,H9,I9-H9))</f>
        <v>0</v>
      </c>
    </row>
    <row r="10" spans="1:10">
      <c r="A10" s="231"/>
      <c r="C10">
        <f t="shared" si="1"/>
        <v>31</v>
      </c>
      <c r="D10">
        <f t="shared" si="0"/>
        <v>32</v>
      </c>
      <c r="E10">
        <f t="shared" si="6"/>
        <v>0</v>
      </c>
      <c r="H10">
        <f t="shared" si="2"/>
        <v>33</v>
      </c>
      <c r="I10">
        <f t="shared" si="3"/>
        <v>34</v>
      </c>
      <c r="J10" s="206">
        <f t="shared" si="7"/>
        <v>4</v>
      </c>
    </row>
    <row r="11" spans="1:10">
      <c r="A11" s="231"/>
      <c r="C11">
        <f t="shared" si="1"/>
        <v>33</v>
      </c>
      <c r="D11">
        <f t="shared" si="0"/>
        <v>35</v>
      </c>
      <c r="E11">
        <f t="shared" si="6"/>
        <v>76</v>
      </c>
      <c r="H11">
        <f t="shared" si="2"/>
        <v>35</v>
      </c>
      <c r="I11">
        <f t="shared" si="3"/>
        <v>37</v>
      </c>
      <c r="J11" s="206">
        <f t="shared" si="7"/>
        <v>28</v>
      </c>
    </row>
    <row r="12" spans="1:10">
      <c r="A12" s="231"/>
      <c r="C12">
        <f t="shared" si="1"/>
        <v>36</v>
      </c>
      <c r="D12">
        <f t="shared" si="0"/>
        <v>38</v>
      </c>
      <c r="E12">
        <f t="shared" si="6"/>
        <v>15</v>
      </c>
      <c r="H12">
        <f t="shared" si="2"/>
        <v>38</v>
      </c>
      <c r="I12">
        <f t="shared" si="3"/>
        <v>39</v>
      </c>
      <c r="J12" s="206">
        <f t="shared" si="7"/>
        <v>9</v>
      </c>
    </row>
    <row r="13" spans="1:10">
      <c r="A13" s="231"/>
      <c r="C13">
        <f t="shared" si="1"/>
        <v>39</v>
      </c>
      <c r="D13">
        <f t="shared" si="0"/>
        <v>42</v>
      </c>
      <c r="E13">
        <f t="shared" si="6"/>
        <v>193</v>
      </c>
      <c r="H13">
        <f t="shared" si="2"/>
        <v>40</v>
      </c>
      <c r="I13">
        <f t="shared" si="3"/>
        <v>42</v>
      </c>
      <c r="J13" s="206">
        <f t="shared" si="7"/>
        <v>21</v>
      </c>
    </row>
    <row r="14" spans="1:10">
      <c r="A14" s="231"/>
      <c r="C14">
        <f t="shared" si="1"/>
        <v>43</v>
      </c>
      <c r="D14">
        <f t="shared" si="0"/>
        <v>44</v>
      </c>
      <c r="E14">
        <f t="shared" si="6"/>
        <v>1</v>
      </c>
      <c r="H14">
        <f t="shared" si="2"/>
        <v>43</v>
      </c>
      <c r="I14">
        <f t="shared" si="3"/>
        <v>48</v>
      </c>
      <c r="J14" s="206">
        <f t="shared" si="7"/>
        <v>80100</v>
      </c>
    </row>
    <row r="15" spans="1:10">
      <c r="A15" s="231"/>
      <c r="C15">
        <f t="shared" si="1"/>
        <v>45</v>
      </c>
      <c r="D15">
        <f t="shared" si="0"/>
        <v>46</v>
      </c>
      <c r="E15">
        <f t="shared" si="6"/>
        <v>1</v>
      </c>
      <c r="H15">
        <f t="shared" si="2"/>
        <v>49</v>
      </c>
      <c r="I15">
        <f t="shared" si="3"/>
        <v>54</v>
      </c>
      <c r="J15" s="206">
        <f t="shared" si="7"/>
        <v>54040</v>
      </c>
    </row>
    <row r="16" spans="1:10">
      <c r="A16" s="231"/>
      <c r="C16">
        <f t="shared" si="1"/>
        <v>47</v>
      </c>
      <c r="D16">
        <f t="shared" si="0"/>
        <v>48</v>
      </c>
      <c r="E16">
        <f t="shared" si="6"/>
        <v>0</v>
      </c>
      <c r="H16">
        <f t="shared" si="2"/>
        <v>55</v>
      </c>
      <c r="I16">
        <f t="shared" si="3"/>
        <v>56</v>
      </c>
      <c r="J16" s="206">
        <f t="shared" si="7"/>
        <v>1</v>
      </c>
    </row>
    <row r="17" spans="1:10">
      <c r="A17" s="231"/>
      <c r="C17">
        <f t="shared" si="1"/>
        <v>49</v>
      </c>
      <c r="D17">
        <f t="shared" si="0"/>
        <v>52</v>
      </c>
      <c r="E17">
        <f t="shared" si="6"/>
        <v>0.8</v>
      </c>
      <c r="H17">
        <f t="shared" si="2"/>
        <v>57</v>
      </c>
      <c r="I17">
        <f t="shared" si="3"/>
        <v>58</v>
      </c>
      <c r="J17" s="206">
        <f t="shared" si="7"/>
        <v>0</v>
      </c>
    </row>
    <row r="18" spans="1:10">
      <c r="A18" s="231"/>
      <c r="C18">
        <f t="shared" si="1"/>
        <v>53</v>
      </c>
      <c r="D18">
        <f t="shared" si="0"/>
        <v>54</v>
      </c>
      <c r="E18">
        <f t="shared" si="6"/>
        <v>1</v>
      </c>
      <c r="H18">
        <f t="shared" si="2"/>
        <v>59</v>
      </c>
      <c r="I18">
        <f t="shared" si="3"/>
        <v>60</v>
      </c>
      <c r="J18" s="206">
        <f t="shared" si="7"/>
        <v>2</v>
      </c>
    </row>
    <row r="19" spans="1:10">
      <c r="A19" s="231"/>
      <c r="C19">
        <f t="shared" si="1"/>
        <v>55</v>
      </c>
      <c r="D19">
        <f t="shared" si="0"/>
        <v>56</v>
      </c>
      <c r="E19">
        <f t="shared" si="6"/>
        <v>1</v>
      </c>
      <c r="H19">
        <f t="shared" si="2"/>
        <v>61</v>
      </c>
      <c r="I19">
        <f t="shared" si="3"/>
        <v>62</v>
      </c>
      <c r="J19" s="206">
        <f t="shared" si="7"/>
        <v>0</v>
      </c>
    </row>
    <row r="20" spans="1:10">
      <c r="A20" s="231"/>
      <c r="C20">
        <f t="shared" si="1"/>
        <v>57</v>
      </c>
      <c r="D20">
        <f t="shared" si="0"/>
        <v>58</v>
      </c>
      <c r="E20">
        <f t="shared" si="6"/>
        <v>1</v>
      </c>
      <c r="H20">
        <f t="shared" si="2"/>
        <v>63</v>
      </c>
      <c r="I20">
        <f t="shared" si="3"/>
        <v>64</v>
      </c>
      <c r="J20" s="206">
        <f t="shared" si="7"/>
        <v>5</v>
      </c>
    </row>
    <row r="21" spans="1:10">
      <c r="A21" s="231"/>
      <c r="C21">
        <f t="shared" si="1"/>
        <v>59</v>
      </c>
      <c r="D21">
        <f t="shared" si="0"/>
        <v>60</v>
      </c>
      <c r="E21">
        <f t="shared" si="6"/>
        <v>0</v>
      </c>
      <c r="H21">
        <f t="shared" si="2"/>
        <v>65</v>
      </c>
      <c r="I21">
        <f t="shared" si="3"/>
        <v>69</v>
      </c>
      <c r="J21" s="206">
        <f t="shared" si="7"/>
        <v>0.04</v>
      </c>
    </row>
    <row r="22" spans="1:10">
      <c r="A22" s="231"/>
      <c r="C22">
        <f t="shared" si="1"/>
        <v>61</v>
      </c>
      <c r="D22">
        <f t="shared" si="0"/>
        <v>64</v>
      </c>
      <c r="E22">
        <f t="shared" si="6"/>
        <v>0.3</v>
      </c>
      <c r="H22">
        <f t="shared" si="2"/>
        <v>70</v>
      </c>
      <c r="I22">
        <f t="shared" si="3"/>
        <v>71</v>
      </c>
      <c r="J22" s="206">
        <f t="shared" si="7"/>
        <v>0</v>
      </c>
    </row>
    <row r="23" spans="1:10">
      <c r="A23" s="231"/>
      <c r="C23">
        <f t="shared" si="1"/>
        <v>65</v>
      </c>
      <c r="D23">
        <f t="shared" si="0"/>
        <v>66</v>
      </c>
      <c r="E23">
        <f t="shared" si="6"/>
        <v>1</v>
      </c>
      <c r="H23">
        <f t="shared" si="2"/>
        <v>72</v>
      </c>
      <c r="I23">
        <f t="shared" si="3"/>
        <v>73</v>
      </c>
      <c r="J23" s="206">
        <f t="shared" si="7"/>
        <v>0</v>
      </c>
    </row>
    <row r="24" spans="1:10">
      <c r="A24" s="231"/>
      <c r="C24">
        <f t="shared" si="1"/>
        <v>67</v>
      </c>
      <c r="D24">
        <f t="shared" si="0"/>
        <v>68</v>
      </c>
      <c r="E24">
        <f t="shared" si="6"/>
        <v>0</v>
      </c>
      <c r="H24">
        <f t="shared" si="2"/>
        <v>74</v>
      </c>
      <c r="I24">
        <f t="shared" si="3"/>
        <v>75</v>
      </c>
      <c r="J24" s="206">
        <f t="shared" si="7"/>
        <v>5</v>
      </c>
    </row>
    <row r="25" spans="1:10">
      <c r="A25" s="231"/>
      <c r="C25">
        <f t="shared" si="1"/>
        <v>69</v>
      </c>
      <c r="D25">
        <f t="shared" si="0"/>
        <v>70</v>
      </c>
      <c r="E25">
        <f t="shared" si="6"/>
        <v>5</v>
      </c>
      <c r="H25">
        <f t="shared" si="2"/>
        <v>76</v>
      </c>
      <c r="I25">
        <f t="shared" si="3"/>
        <v>80</v>
      </c>
      <c r="J25" s="206">
        <f t="shared" si="7"/>
        <v>0.04</v>
      </c>
    </row>
    <row r="26" spans="1:10">
      <c r="A26" s="231"/>
      <c r="C26">
        <f t="shared" si="1"/>
        <v>71</v>
      </c>
      <c r="D26">
        <f t="shared" si="0"/>
        <v>74</v>
      </c>
      <c r="E26">
        <f t="shared" si="6"/>
        <v>0.5</v>
      </c>
      <c r="H26">
        <f t="shared" si="2"/>
        <v>81</v>
      </c>
      <c r="I26">
        <f t="shared" si="3"/>
        <v>82</v>
      </c>
      <c r="J26" s="206">
        <f t="shared" si="7"/>
        <v>0</v>
      </c>
    </row>
    <row r="27" spans="1:10">
      <c r="A27" s="231"/>
      <c r="C27">
        <f t="shared" si="1"/>
        <v>75</v>
      </c>
      <c r="D27">
        <f t="shared" si="0"/>
        <v>76</v>
      </c>
      <c r="E27">
        <f t="shared" si="6"/>
        <v>2</v>
      </c>
      <c r="H27">
        <f t="shared" si="2"/>
        <v>83</v>
      </c>
      <c r="I27">
        <f t="shared" si="3"/>
        <v>84</v>
      </c>
      <c r="J27" s="206">
        <f t="shared" si="7"/>
        <v>0</v>
      </c>
    </row>
    <row r="28" spans="1:10">
      <c r="A28" s="231"/>
      <c r="C28">
        <f t="shared" si="1"/>
        <v>77</v>
      </c>
      <c r="D28">
        <f t="shared" si="0"/>
        <v>78</v>
      </c>
      <c r="E28">
        <f t="shared" si="6"/>
        <v>0</v>
      </c>
      <c r="H28">
        <f t="shared" si="2"/>
        <v>85</v>
      </c>
      <c r="I28">
        <f t="shared" si="3"/>
        <v>86</v>
      </c>
      <c r="J28" s="206">
        <f t="shared" si="7"/>
        <v>1</v>
      </c>
    </row>
    <row r="29" spans="1:10">
      <c r="A29" s="231"/>
      <c r="C29">
        <f t="shared" si="1"/>
        <v>79</v>
      </c>
      <c r="D29">
        <f t="shared" si="0"/>
        <v>82</v>
      </c>
      <c r="E29">
        <f t="shared" si="6"/>
        <v>0.9</v>
      </c>
      <c r="H29">
        <f t="shared" si="2"/>
        <v>87</v>
      </c>
      <c r="I29">
        <f t="shared" si="3"/>
        <v>88</v>
      </c>
      <c r="J29" s="206">
        <f t="shared" si="7"/>
        <v>0</v>
      </c>
    </row>
    <row r="30" spans="1:10">
      <c r="A30" s="231"/>
      <c r="C30">
        <f t="shared" si="1"/>
        <v>83</v>
      </c>
      <c r="D30">
        <f t="shared" si="0"/>
        <v>86</v>
      </c>
      <c r="E30">
        <f t="shared" si="6"/>
        <v>0.5</v>
      </c>
      <c r="H30">
        <f t="shared" si="2"/>
        <v>89</v>
      </c>
      <c r="I30">
        <f t="shared" si="3"/>
        <v>91</v>
      </c>
      <c r="J30" s="206">
        <f t="shared" si="7"/>
        <v>20</v>
      </c>
    </row>
    <row r="31" spans="1:10">
      <c r="A31" s="231"/>
      <c r="C31">
        <f t="shared" si="1"/>
        <v>87</v>
      </c>
      <c r="D31">
        <f t="shared" si="0"/>
        <v>88</v>
      </c>
      <c r="E31">
        <f t="shared" si="6"/>
        <v>1</v>
      </c>
      <c r="H31">
        <f t="shared" si="2"/>
        <v>92</v>
      </c>
      <c r="I31">
        <f t="shared" si="3"/>
        <v>97</v>
      </c>
      <c r="J31" s="206">
        <f t="shared" si="7"/>
        <v>-0.17</v>
      </c>
    </row>
    <row r="32" spans="1:10">
      <c r="A32" s="231"/>
      <c r="C32">
        <f t="shared" si="1"/>
        <v>89</v>
      </c>
      <c r="D32">
        <f t="shared" si="0"/>
        <v>92</v>
      </c>
      <c r="E32">
        <f t="shared" si="6"/>
        <v>0.9</v>
      </c>
      <c r="H32">
        <f t="shared" si="2"/>
        <v>98</v>
      </c>
      <c r="I32">
        <f t="shared" si="3"/>
        <v>99</v>
      </c>
      <c r="J32" s="206">
        <f t="shared" si="7"/>
        <v>0</v>
      </c>
    </row>
    <row r="33" spans="1:10">
      <c r="A33" s="231"/>
      <c r="C33">
        <f t="shared" si="1"/>
        <v>93</v>
      </c>
      <c r="D33">
        <f t="shared" si="0"/>
        <v>96</v>
      </c>
      <c r="E33">
        <f t="shared" si="6"/>
        <v>0.9</v>
      </c>
      <c r="H33">
        <f t="shared" si="2"/>
        <v>100</v>
      </c>
      <c r="I33">
        <f t="shared" si="3"/>
        <v>101</v>
      </c>
      <c r="J33" s="206">
        <f t="shared" si="7"/>
        <v>5</v>
      </c>
    </row>
    <row r="34" spans="1:10">
      <c r="A34" s="231"/>
      <c r="C34">
        <f t="shared" si="1"/>
        <v>97</v>
      </c>
      <c r="D34">
        <f t="shared" si="0"/>
        <v>98</v>
      </c>
      <c r="E34">
        <f t="shared" si="6"/>
        <v>1</v>
      </c>
      <c r="H34">
        <f t="shared" si="2"/>
        <v>102</v>
      </c>
      <c r="I34">
        <f t="shared" si="3"/>
        <v>106</v>
      </c>
      <c r="J34" s="206">
        <f t="shared" si="7"/>
        <v>0.04</v>
      </c>
    </row>
    <row r="35" spans="1:10">
      <c r="A35" s="231"/>
      <c r="C35">
        <f t="shared" si="1"/>
        <v>99</v>
      </c>
      <c r="D35">
        <f t="shared" si="0"/>
        <v>102</v>
      </c>
      <c r="E35">
        <f t="shared" si="6"/>
        <v>0.5</v>
      </c>
      <c r="H35">
        <f t="shared" si="2"/>
        <v>107</v>
      </c>
      <c r="I35">
        <f t="shared" si="3"/>
        <v>108</v>
      </c>
      <c r="J35" s="206">
        <f t="shared" si="7"/>
        <v>0</v>
      </c>
    </row>
    <row r="36" spans="1:10">
      <c r="A36" s="231"/>
      <c r="C36">
        <f t="shared" si="1"/>
        <v>103</v>
      </c>
      <c r="D36">
        <f t="shared" si="0"/>
        <v>107</v>
      </c>
      <c r="E36">
        <f t="shared" si="6"/>
        <v>0.05</v>
      </c>
      <c r="H36">
        <f t="shared" si="2"/>
        <v>109</v>
      </c>
      <c r="I36">
        <f t="shared" si="3"/>
        <v>110</v>
      </c>
      <c r="J36" s="206">
        <f t="shared" si="7"/>
        <v>1</v>
      </c>
    </row>
    <row r="37" spans="1:10">
      <c r="A37" s="231"/>
      <c r="C37">
        <f t="shared" si="1"/>
        <v>108</v>
      </c>
      <c r="D37">
        <f t="shared" si="0"/>
        <v>111</v>
      </c>
      <c r="E37">
        <f t="shared" si="6"/>
        <v>0.2</v>
      </c>
      <c r="H37">
        <f t="shared" si="2"/>
        <v>111</v>
      </c>
      <c r="I37">
        <f t="shared" si="3"/>
        <v>114</v>
      </c>
      <c r="J37" s="206">
        <f t="shared" si="7"/>
        <v>0.2</v>
      </c>
    </row>
    <row r="38" spans="1:10">
      <c r="A38" s="231"/>
      <c r="C38">
        <f t="shared" si="1"/>
        <v>112</v>
      </c>
      <c r="D38">
        <f t="shared" si="0"/>
        <v>113</v>
      </c>
      <c r="E38">
        <f t="shared" si="6"/>
        <v>1</v>
      </c>
      <c r="H38">
        <f t="shared" si="2"/>
        <v>115</v>
      </c>
      <c r="I38">
        <f t="shared" si="3"/>
        <v>118</v>
      </c>
      <c r="J38" s="206">
        <f t="shared" si="7"/>
        <v>0.2</v>
      </c>
    </row>
    <row r="39" spans="1:10">
      <c r="A39" s="231"/>
      <c r="C39">
        <f t="shared" si="1"/>
        <v>114</v>
      </c>
      <c r="D39">
        <f t="shared" si="0"/>
        <v>115</v>
      </c>
      <c r="E39">
        <f t="shared" si="6"/>
        <v>2</v>
      </c>
      <c r="H39">
        <f t="shared" si="2"/>
        <v>119</v>
      </c>
      <c r="I39">
        <f t="shared" si="3"/>
        <v>122</v>
      </c>
      <c r="J39" s="206">
        <f t="shared" si="7"/>
        <v>0.8</v>
      </c>
    </row>
    <row r="40" spans="1:10">
      <c r="A40" s="231"/>
      <c r="C40">
        <f t="shared" si="1"/>
        <v>116</v>
      </c>
      <c r="D40">
        <f t="shared" si="0"/>
        <v>117</v>
      </c>
      <c r="E40">
        <f t="shared" si="6"/>
        <v>2</v>
      </c>
      <c r="H40">
        <f t="shared" si="2"/>
        <v>123</v>
      </c>
      <c r="I40">
        <f t="shared" si="3"/>
        <v>126</v>
      </c>
      <c r="J40" s="206">
        <f t="shared" si="7"/>
        <v>0.8</v>
      </c>
    </row>
    <row r="41" spans="1:10">
      <c r="A41" s="231"/>
      <c r="C41">
        <f t="shared" si="1"/>
        <v>118</v>
      </c>
      <c r="D41">
        <f t="shared" si="0"/>
        <v>119</v>
      </c>
      <c r="E41">
        <f t="shared" si="6"/>
        <v>2</v>
      </c>
      <c r="H41">
        <f t="shared" si="2"/>
        <v>127</v>
      </c>
      <c r="I41">
        <f t="shared" si="3"/>
        <v>131</v>
      </c>
      <c r="J41" s="206">
        <f t="shared" si="7"/>
        <v>0.82</v>
      </c>
    </row>
    <row r="42" spans="1:10">
      <c r="A42" s="231"/>
      <c r="C42">
        <f t="shared" si="1"/>
        <v>120</v>
      </c>
      <c r="D42">
        <f t="shared" si="0"/>
        <v>123</v>
      </c>
      <c r="E42">
        <f t="shared" si="6"/>
        <v>2.5</v>
      </c>
      <c r="H42">
        <f t="shared" si="2"/>
        <v>132</v>
      </c>
      <c r="I42">
        <f t="shared" si="3"/>
        <v>135</v>
      </c>
      <c r="J42" s="206">
        <f t="shared" si="7"/>
        <v>1.2</v>
      </c>
    </row>
    <row r="43" spans="1:10">
      <c r="A43" s="231"/>
      <c r="C43">
        <f t="shared" si="1"/>
        <v>124</v>
      </c>
      <c r="D43">
        <f t="shared" si="0"/>
        <v>127</v>
      </c>
      <c r="E43">
        <f t="shared" si="6"/>
        <v>2.5</v>
      </c>
      <c r="H43">
        <f t="shared" si="2"/>
        <v>136</v>
      </c>
      <c r="I43">
        <f t="shared" si="3"/>
        <v>140</v>
      </c>
      <c r="J43" s="206">
        <f t="shared" si="7"/>
        <v>1.18</v>
      </c>
    </row>
    <row r="44" spans="1:10">
      <c r="A44" s="231"/>
      <c r="C44">
        <f t="shared" si="1"/>
        <v>128</v>
      </c>
      <c r="D44">
        <f t="shared" si="0"/>
        <v>132</v>
      </c>
      <c r="E44">
        <f t="shared" si="6"/>
        <v>0.25</v>
      </c>
      <c r="H44">
        <f t="shared" si="2"/>
        <v>141</v>
      </c>
      <c r="I44">
        <f t="shared" si="3"/>
        <v>144</v>
      </c>
      <c r="J44" s="206">
        <f t="shared" si="7"/>
        <v>0.2</v>
      </c>
    </row>
    <row r="45" spans="1:10">
      <c r="A45" s="231"/>
      <c r="C45">
        <f t="shared" si="1"/>
        <v>133</v>
      </c>
      <c r="D45">
        <f t="shared" si="0"/>
        <v>137</v>
      </c>
      <c r="E45">
        <f t="shared" si="6"/>
        <v>0.25</v>
      </c>
      <c r="G45" t="s">
        <v>329</v>
      </c>
      <c r="H45">
        <f t="shared" si="2"/>
        <v>145</v>
      </c>
      <c r="I45">
        <f>SEARCH("/",J_PPC_data,H45)</f>
        <v>146</v>
      </c>
      <c r="J45" s="206">
        <f t="shared" si="7"/>
        <v>1</v>
      </c>
    </row>
    <row r="46" spans="1:10">
      <c r="A46" s="231"/>
      <c r="C46">
        <f t="shared" si="1"/>
        <v>138</v>
      </c>
      <c r="D46">
        <f t="shared" si="0"/>
        <v>142</v>
      </c>
      <c r="E46">
        <f t="shared" si="6"/>
        <v>0.25</v>
      </c>
      <c r="J46" s="206"/>
    </row>
    <row r="47" spans="1:10">
      <c r="A47" s="231"/>
      <c r="C47">
        <f t="shared" si="1"/>
        <v>143</v>
      </c>
      <c r="D47">
        <f t="shared" si="0"/>
        <v>147</v>
      </c>
      <c r="E47">
        <f t="shared" si="6"/>
        <v>0.25</v>
      </c>
      <c r="J47" s="206"/>
    </row>
    <row r="48" spans="1:10">
      <c r="A48" s="231"/>
      <c r="C48">
        <f t="shared" si="1"/>
        <v>148</v>
      </c>
      <c r="D48">
        <f t="shared" si="0"/>
        <v>152</v>
      </c>
      <c r="E48">
        <f t="shared" si="6"/>
        <v>0.03</v>
      </c>
      <c r="J48" s="206"/>
    </row>
    <row r="49" spans="1:10">
      <c r="A49" s="231"/>
      <c r="C49">
        <f t="shared" si="1"/>
        <v>153</v>
      </c>
      <c r="D49">
        <f t="shared" si="0"/>
        <v>157</v>
      </c>
      <c r="E49">
        <f t="shared" si="6"/>
        <v>0.03</v>
      </c>
      <c r="J49" s="206"/>
    </row>
    <row r="50" spans="1:10">
      <c r="A50" s="231"/>
      <c r="C50">
        <f t="shared" si="1"/>
        <v>158</v>
      </c>
      <c r="D50">
        <f t="shared" si="0"/>
        <v>162</v>
      </c>
      <c r="E50">
        <f t="shared" si="6"/>
        <v>0.01</v>
      </c>
      <c r="J50" s="206"/>
    </row>
    <row r="51" spans="1:10">
      <c r="A51" s="231"/>
      <c r="C51">
        <f t="shared" si="1"/>
        <v>163</v>
      </c>
      <c r="D51">
        <f t="shared" si="0"/>
        <v>164</v>
      </c>
      <c r="E51">
        <f t="shared" si="6"/>
        <v>0</v>
      </c>
      <c r="J51" s="206"/>
    </row>
    <row r="52" spans="1:10">
      <c r="A52" s="231"/>
      <c r="C52">
        <f t="shared" si="1"/>
        <v>165</v>
      </c>
      <c r="D52">
        <f t="shared" si="0"/>
        <v>167</v>
      </c>
      <c r="E52">
        <f t="shared" si="6"/>
        <v>20</v>
      </c>
      <c r="J52" s="206"/>
    </row>
    <row r="53" spans="1:10">
      <c r="A53" s="231"/>
      <c r="C53">
        <f t="shared" si="1"/>
        <v>168</v>
      </c>
      <c r="D53">
        <f t="shared" si="0"/>
        <v>169</v>
      </c>
      <c r="E53">
        <f t="shared" si="6"/>
        <v>0</v>
      </c>
      <c r="J53" s="206"/>
    </row>
    <row r="54" spans="1:10">
      <c r="A54" s="231"/>
      <c r="C54">
        <f t="shared" si="1"/>
        <v>170</v>
      </c>
      <c r="D54">
        <f t="shared" si="0"/>
        <v>171</v>
      </c>
      <c r="E54">
        <f t="shared" si="6"/>
        <v>0</v>
      </c>
      <c r="J54" s="206"/>
    </row>
    <row r="55" spans="1:10">
      <c r="A55" s="231"/>
      <c r="C55">
        <f t="shared" si="1"/>
        <v>172</v>
      </c>
      <c r="D55">
        <f t="shared" si="0"/>
        <v>173</v>
      </c>
      <c r="E55">
        <f t="shared" si="6"/>
        <v>0</v>
      </c>
      <c r="J55" s="206"/>
    </row>
    <row r="56" spans="1:10">
      <c r="A56" s="231"/>
      <c r="C56">
        <f t="shared" si="1"/>
        <v>174</v>
      </c>
      <c r="D56">
        <f t="shared" si="0"/>
        <v>175</v>
      </c>
      <c r="E56">
        <f t="shared" si="6"/>
        <v>0</v>
      </c>
      <c r="J56" s="206"/>
    </row>
    <row r="57" spans="1:10">
      <c r="A57" s="231"/>
      <c r="C57">
        <f t="shared" si="1"/>
        <v>176</v>
      </c>
      <c r="D57">
        <f t="shared" si="0"/>
        <v>180</v>
      </c>
      <c r="E57">
        <f t="shared" si="6"/>
        <v>0.15</v>
      </c>
      <c r="J57" s="206"/>
    </row>
    <row r="58" spans="1:10">
      <c r="A58" s="231"/>
      <c r="C58">
        <f t="shared" si="1"/>
        <v>181</v>
      </c>
      <c r="D58">
        <f t="shared" si="0"/>
        <v>184</v>
      </c>
      <c r="E58">
        <f t="shared" si="6"/>
        <v>0.1</v>
      </c>
      <c r="J58" s="206"/>
    </row>
    <row r="59" spans="1:10">
      <c r="A59" s="231"/>
      <c r="C59">
        <f t="shared" si="1"/>
        <v>185</v>
      </c>
      <c r="D59">
        <f t="shared" si="0"/>
        <v>189</v>
      </c>
      <c r="E59">
        <f t="shared" si="6"/>
        <v>1.32</v>
      </c>
      <c r="J59" s="206"/>
    </row>
    <row r="60" spans="1:10">
      <c r="A60" s="231"/>
      <c r="C60">
        <f t="shared" si="1"/>
        <v>190</v>
      </c>
      <c r="D60">
        <f t="shared" si="0"/>
        <v>191</v>
      </c>
      <c r="E60">
        <f t="shared" si="6"/>
        <v>0</v>
      </c>
      <c r="J60" s="206"/>
    </row>
    <row r="61" spans="1:10">
      <c r="A61" s="231"/>
      <c r="C61">
        <f t="shared" si="1"/>
        <v>192</v>
      </c>
      <c r="D61">
        <f t="shared" si="0"/>
        <v>196</v>
      </c>
      <c r="E61">
        <f t="shared" si="6"/>
        <v>1.22</v>
      </c>
      <c r="J61" s="206"/>
    </row>
    <row r="62" spans="1:10">
      <c r="A62" s="231"/>
      <c r="C62">
        <f t="shared" si="1"/>
        <v>197</v>
      </c>
      <c r="D62">
        <f t="shared" si="0"/>
        <v>200</v>
      </c>
      <c r="E62">
        <f t="shared" si="6"/>
        <v>0.5</v>
      </c>
      <c r="J62" s="206"/>
    </row>
    <row r="63" spans="1:10">
      <c r="A63" s="231"/>
      <c r="C63">
        <f t="shared" si="1"/>
        <v>201</v>
      </c>
      <c r="D63">
        <f t="shared" si="0"/>
        <v>205</v>
      </c>
      <c r="E63">
        <f t="shared" si="6"/>
        <v>1.1200000000000001</v>
      </c>
      <c r="J63" s="206"/>
    </row>
    <row r="64" spans="1:10">
      <c r="A64" s="231"/>
      <c r="C64">
        <f t="shared" si="1"/>
        <v>206</v>
      </c>
      <c r="D64">
        <f t="shared" si="0"/>
        <v>207</v>
      </c>
      <c r="E64">
        <f t="shared" si="6"/>
        <v>1</v>
      </c>
      <c r="J64" s="206"/>
    </row>
    <row r="65" spans="1:10">
      <c r="A65" s="231"/>
      <c r="C65">
        <f t="shared" si="1"/>
        <v>208</v>
      </c>
      <c r="D65">
        <f t="shared" si="0"/>
        <v>212</v>
      </c>
      <c r="E65">
        <f t="shared" si="6"/>
        <v>0.88</v>
      </c>
      <c r="J65" s="206"/>
    </row>
    <row r="66" spans="1:10">
      <c r="A66" s="231"/>
      <c r="C66">
        <f t="shared" si="1"/>
        <v>213</v>
      </c>
      <c r="D66">
        <f t="shared" si="0"/>
        <v>217</v>
      </c>
      <c r="E66">
        <f t="shared" si="6"/>
        <v>10.5</v>
      </c>
      <c r="J66" s="206"/>
    </row>
    <row r="67" spans="1:10">
      <c r="A67" s="231"/>
      <c r="C67">
        <f t="shared" si="1"/>
        <v>218</v>
      </c>
      <c r="D67">
        <f t="shared" si="0"/>
        <v>222</v>
      </c>
      <c r="E67">
        <f t="shared" si="6"/>
        <v>0.78</v>
      </c>
      <c r="J67" s="206"/>
    </row>
    <row r="68" spans="1:10">
      <c r="A68" s="231"/>
      <c r="C68">
        <f t="shared" si="1"/>
        <v>223</v>
      </c>
      <c r="D68">
        <f t="shared" si="0"/>
        <v>226</v>
      </c>
      <c r="E68">
        <f t="shared" si="6"/>
        <v>2.1</v>
      </c>
      <c r="J68" s="206"/>
    </row>
    <row r="69" spans="1:10">
      <c r="A69" s="231"/>
      <c r="C69">
        <f t="shared" si="1"/>
        <v>227</v>
      </c>
      <c r="D69">
        <f t="shared" ref="D69:D85" si="8">SEARCH(" ",$B$3,C69)</f>
        <v>231</v>
      </c>
      <c r="E69">
        <f t="shared" si="6"/>
        <v>0.68</v>
      </c>
      <c r="J69" s="206"/>
    </row>
    <row r="70" spans="1:10">
      <c r="A70" s="231"/>
      <c r="C70">
        <f t="shared" ref="C70:C86" si="9">D69+1</f>
        <v>232</v>
      </c>
      <c r="D70">
        <f t="shared" si="8"/>
        <v>235</v>
      </c>
      <c r="E70">
        <f t="shared" si="6"/>
        <v>0.5</v>
      </c>
      <c r="J70" s="206"/>
    </row>
    <row r="71" spans="1:10">
      <c r="A71" s="231"/>
      <c r="C71">
        <f t="shared" si="9"/>
        <v>236</v>
      </c>
      <c r="D71">
        <f t="shared" si="8"/>
        <v>238</v>
      </c>
      <c r="E71">
        <f t="shared" si="6"/>
        <v>52</v>
      </c>
      <c r="J71" s="206"/>
    </row>
    <row r="72" spans="1:10">
      <c r="A72" s="231"/>
      <c r="C72">
        <f t="shared" si="9"/>
        <v>239</v>
      </c>
      <c r="D72">
        <f t="shared" si="8"/>
        <v>240</v>
      </c>
      <c r="E72">
        <f t="shared" si="6"/>
        <v>0</v>
      </c>
      <c r="J72" s="206"/>
    </row>
    <row r="73" spans="1:10">
      <c r="A73" s="231"/>
      <c r="C73">
        <f t="shared" si="9"/>
        <v>241</v>
      </c>
      <c r="D73">
        <f t="shared" si="8"/>
        <v>243</v>
      </c>
      <c r="E73">
        <f t="shared" ref="E73:E88" si="10">VALUE(MID($B$3,C73,D73-C73))</f>
        <v>51</v>
      </c>
      <c r="J73" s="206"/>
    </row>
    <row r="74" spans="1:10">
      <c r="A74" s="231"/>
      <c r="C74">
        <f t="shared" si="9"/>
        <v>244</v>
      </c>
      <c r="D74">
        <f t="shared" si="8"/>
        <v>247</v>
      </c>
      <c r="E74">
        <f t="shared" si="10"/>
        <v>120</v>
      </c>
      <c r="J74" s="206"/>
    </row>
    <row r="75" spans="1:10">
      <c r="A75" s="231"/>
      <c r="C75">
        <f t="shared" si="9"/>
        <v>248</v>
      </c>
      <c r="D75">
        <f t="shared" si="8"/>
        <v>252</v>
      </c>
      <c r="E75">
        <f t="shared" si="10"/>
        <v>50.5</v>
      </c>
      <c r="J75" s="206"/>
    </row>
    <row r="76" spans="1:10">
      <c r="A76" s="231"/>
      <c r="C76">
        <f t="shared" si="9"/>
        <v>253</v>
      </c>
      <c r="D76">
        <f t="shared" si="8"/>
        <v>256</v>
      </c>
      <c r="E76">
        <f t="shared" si="10"/>
        <v>600</v>
      </c>
      <c r="J76" s="206"/>
    </row>
    <row r="77" spans="1:10">
      <c r="A77" s="231"/>
      <c r="C77">
        <f t="shared" si="9"/>
        <v>257</v>
      </c>
      <c r="D77">
        <f t="shared" si="8"/>
        <v>261</v>
      </c>
      <c r="E77">
        <f t="shared" si="10"/>
        <v>49.5</v>
      </c>
      <c r="J77" s="206"/>
    </row>
    <row r="78" spans="1:10">
      <c r="A78" s="231"/>
      <c r="C78">
        <f t="shared" si="9"/>
        <v>262</v>
      </c>
      <c r="D78">
        <f t="shared" si="8"/>
        <v>265</v>
      </c>
      <c r="E78">
        <f t="shared" si="10"/>
        <v>600</v>
      </c>
      <c r="J78" s="206"/>
    </row>
    <row r="79" spans="1:10">
      <c r="A79" s="231"/>
      <c r="C79">
        <f t="shared" si="9"/>
        <v>266</v>
      </c>
      <c r="D79">
        <f t="shared" si="8"/>
        <v>268</v>
      </c>
      <c r="E79">
        <f t="shared" si="10"/>
        <v>49</v>
      </c>
      <c r="J79" s="206"/>
    </row>
    <row r="80" spans="1:10">
      <c r="A80" s="231"/>
      <c r="C80">
        <f t="shared" si="9"/>
        <v>269</v>
      </c>
      <c r="D80">
        <f t="shared" si="8"/>
        <v>272</v>
      </c>
      <c r="E80">
        <f t="shared" si="10"/>
        <v>120</v>
      </c>
      <c r="J80" s="206"/>
    </row>
    <row r="81" spans="1:10">
      <c r="A81" s="231"/>
      <c r="C81">
        <f t="shared" si="9"/>
        <v>273</v>
      </c>
      <c r="D81">
        <f t="shared" si="8"/>
        <v>275</v>
      </c>
      <c r="E81">
        <f t="shared" si="10"/>
        <v>47</v>
      </c>
      <c r="J81" s="206"/>
    </row>
    <row r="82" spans="1:10">
      <c r="A82" s="231"/>
      <c r="C82">
        <f t="shared" si="9"/>
        <v>276</v>
      </c>
      <c r="D82">
        <f t="shared" si="8"/>
        <v>277</v>
      </c>
      <c r="E82">
        <f t="shared" si="10"/>
        <v>0</v>
      </c>
      <c r="J82" s="206"/>
    </row>
    <row r="83" spans="1:10">
      <c r="A83" s="231"/>
      <c r="C83">
        <f t="shared" si="9"/>
        <v>278</v>
      </c>
      <c r="D83">
        <f t="shared" si="8"/>
        <v>280</v>
      </c>
      <c r="E83">
        <f t="shared" si="10"/>
        <v>30</v>
      </c>
      <c r="J83" s="206"/>
    </row>
    <row r="84" spans="1:10">
      <c r="A84" s="231"/>
      <c r="C84">
        <f t="shared" si="9"/>
        <v>281</v>
      </c>
      <c r="D84">
        <f t="shared" si="8"/>
        <v>282</v>
      </c>
      <c r="E84">
        <f t="shared" si="10"/>
        <v>1</v>
      </c>
      <c r="J84" s="206"/>
    </row>
    <row r="85" spans="1:10">
      <c r="A85" s="231"/>
      <c r="C85">
        <f t="shared" si="9"/>
        <v>283</v>
      </c>
      <c r="D85">
        <f t="shared" si="8"/>
        <v>285</v>
      </c>
      <c r="E85">
        <f t="shared" si="10"/>
        <v>10</v>
      </c>
      <c r="J85" s="206"/>
    </row>
    <row r="86" spans="1:10">
      <c r="A86" s="231"/>
      <c r="C86">
        <f t="shared" si="9"/>
        <v>286</v>
      </c>
      <c r="D86">
        <f>SEARCH(" ",$B$3,C86)</f>
        <v>288</v>
      </c>
      <c r="E86">
        <f t="shared" si="10"/>
        <v>30</v>
      </c>
      <c r="J86" s="206"/>
    </row>
    <row r="87" spans="1:10">
      <c r="A87" s="231"/>
      <c r="C87">
        <f t="shared" ref="C87" si="11">D86+1</f>
        <v>289</v>
      </c>
      <c r="D87">
        <f t="shared" ref="D87" si="12">SEARCH(" ",$B$3,C87)</f>
        <v>290</v>
      </c>
      <c r="E87">
        <f t="shared" si="10"/>
        <v>0</v>
      </c>
      <c r="J87" s="206"/>
    </row>
    <row r="88" spans="1:10">
      <c r="A88" s="231"/>
      <c r="C88">
        <f t="shared" ref="C88" si="13">D87+1</f>
        <v>291</v>
      </c>
      <c r="D88">
        <f t="shared" ref="D88" si="14">SEARCH(" ",$B$3,C88)</f>
        <v>292</v>
      </c>
      <c r="E88">
        <f t="shared" si="10"/>
        <v>0</v>
      </c>
      <c r="J88" s="206"/>
    </row>
    <row r="89" spans="1:10">
      <c r="A89" s="231"/>
      <c r="C89">
        <f>D88+1</f>
        <v>293</v>
      </c>
      <c r="D89">
        <f>SEARCH("/",J_inverter_data,C89)</f>
        <v>294</v>
      </c>
      <c r="E89">
        <f t="shared" ref="E89:E90" si="15">VALUE(MID($B$3,C89,D89-C89))</f>
        <v>1</v>
      </c>
    </row>
    <row r="90" spans="1:10" ht="15.75" thickBot="1">
      <c r="A90" s="232"/>
      <c r="B90" s="72" t="s">
        <v>329</v>
      </c>
      <c r="C90" s="72">
        <f>D89+1</f>
        <v>295</v>
      </c>
      <c r="D90" s="72" t="e">
        <f>SEARCH("/",J_inverter_data,C90)</f>
        <v>#VALUE!</v>
      </c>
      <c r="E90" s="72" t="e">
        <f t="shared" si="15"/>
        <v>#VALUE!</v>
      </c>
      <c r="F90" s="72"/>
      <c r="G90" s="72"/>
      <c r="H90" s="72"/>
      <c r="I90" s="72"/>
      <c r="J90" s="72"/>
    </row>
    <row r="91" spans="1:10">
      <c r="A91" s="105"/>
    </row>
    <row r="92" spans="1:10" ht="15.75" thickBot="1">
      <c r="A92" s="105"/>
    </row>
    <row r="93" spans="1:10" ht="192.75" customHeight="1" thickBot="1">
      <c r="A93" s="204" t="s">
        <v>292</v>
      </c>
      <c r="B93" s="201" t="str">
        <f>CONCATENATE(E4, " ",E5, " ",E6, " ",E7, " ",E8," ",E9, " ",E8," ",E10, " ",E11," ",E12, " ",E13&amp;CHAR(10),
CHAR(9)&amp;CHAR(9)&amp;CHAR(9)&amp;CHAR(9)&amp;CHAR(9)&amp;CHAR(9)&amp;"  ",SunnyCentral!G9, " ",SunnyCentral!G10," ",SunnyCentral!G11," ",SunnyCentral!G12," ",SunnyCentral!G13," ",SunnyCentral!G14," ",SunnyCentral!G16," ",SunnyCentral!G20," ",SunnyCentral!G21&amp;CHAR(10),
CHAR(9)&amp;CHAR(9)&amp;CHAR(9)&amp;CHAR(9)&amp;CHAR(9)&amp;CHAR(9)&amp;"  ",SunnyCentral!G22," ",SunnyCentral!G23," ",SunnyCentral!G24," ",SunnyCentral!G25," ",SunnyCentral!G26&amp;CHAR(10),
CHAR(9)&amp;CHAR(9)&amp;CHAR(9)&amp;CHAR(9)&amp;CHAR(9)&amp;CHAR(9)&amp;"  ",SunnyCentral!G27," ",SunnyCentral!G29," ",SunnyCentral!G30," ",SunnyCentral!G31," ",SunnyCentral!G33," ",SunnyCentral!G34&amp;CHAR(10),
CHAR(9)&amp;CHAR(9)&amp;CHAR(9)&amp;CHAR(9)&amp;CHAR(9)&amp;CHAR(9)&amp;"  ",SunnyCentral!G35," ",SunnyCentral!G37," ",SunnyCentral!G38," ",SunnyCentral!G39&amp;CHAR(10),
CHAR(9)&amp;CHAR(9)&amp;CHAR(9)&amp;CHAR(9)&amp;CHAR(9)&amp;CHAR(9)&amp;"  ",SunnyCentral!G40," ",SunnyCentral!G41," ",SunnyCentral!G42," ",SunnyCentral!G45," ",SunnyCentral!G46," ",SunnyCentral!G47," ",SunnyCentral!G48," ",SunnyCentral!G49," ",SunnyCentral!G50," ",SunnyCentral!G51," ",SunnyCentral!G52," ",SunnyCentral!G53&amp;CHAR(10),
CHAR(9)&amp;CHAR(9)&amp;CHAR(9)&amp;CHAR(9)&amp;CHAR(9)&amp;CHAR(9)&amp;"  ",SunnyCentral!G54," ",SunnyCentral!G55," ",SunnyCentral!G57," ",SunnyCentral!G58," ",SunnyCentral!G59," ",SunnyCentral!G60," ",SunnyCentral!G61," ",SunnyCentral!G62," ",SunnyCentral!G63&amp;CHAR(10),
CHAR(9)&amp;CHAR(9)&amp;CHAR(9)&amp;CHAR(9)&amp;CHAR(9)&amp;CHAR(9)&amp;"  ",SunnyCentral!G64," ",SunnyCentral!G65," ",SunnyCentral!G66," ",SunnyCentral!G67," ",SunnyCentral!G68," ",SunnyCentral!G69," ",SunnyCentral!G70," ",SunnyCentral!G71," ",SunnyCentral!G72," ",SunnyCentral!G73," ",SunnyCentral!G74," ",SunnyCentral!G75&amp;CHAR(10),
CHAR(9)&amp;CHAR(9)&amp;CHAR(9)&amp;CHAR(9)&amp;CHAR(9)&amp;CHAR(9)&amp;"  ",SunnyCentral!G76," ",SunnyCentral!G77," ",SunnyCentral!G78," ",SunnyCentral!G79," ",SunnyCentral!G80," ",SunnyCentral!G81," ",SunnyCentral!G82," ",SunnyCentral!G83," ",SunnyCentral!G84," ",SunnyCentral!G85," ",SunnyCentral!G86," ",SunnyCentral!G87&amp;CHAR(10),
CHAR(9)&amp;CHAR(9)&amp;CHAR(9)&amp;CHAR(9)&amp;CHAR(9)&amp;CHAR(9)&amp;"  ",SunnyCentral!G88," ",SunnyCentral!G89," ",SunnyCentral!G90," ",SunnyCentral!G91," ",SunnyCentral!G92," ",SunnyCentral!G93," ",SunnyCentral!G94,"/")</f>
        <v>100 'USRMDL' 1 'SMASC131' 1 1 1 0 76 15 193
						  1 1 0 0.8 1 1 1 0 0.3
						  1 0 5 0.5 2
						  0 0.9 0.5 1 0.9 0.9
						  1 0.5 0.05 0.2
						  1 2 2 2 2.5 2.5 0.25 0.25 0.25 0.25 0.03 0.03
						  0.01 0 20 0 0 0 0 0.15 0.1
						  1.32 0 1.22 0.5 1.12 1 0.88 10.5 0.78 2.1 0.68 0.5
						  52 0 51 120 50.5 600 49.5 600 49 120 47 0
						  30 1 10 30 0 0 1/</v>
      </c>
      <c r="C93" s="202"/>
      <c r="D93" s="202"/>
      <c r="E93" s="202"/>
      <c r="F93" s="202"/>
      <c r="G93" s="203" t="str">
        <f>CONCATENATE(J4, " ",J5, " ",J6, " ",J7, " ",J8," ",J9," ",J10, " ",J11," ",J12, " ",J13, " ",J14, " ",J15," ",J16, " ",J17&amp;CHAR(10),
CHAR(9)&amp;CHAR(9)&amp;CHAR(9)&amp;CHAR(9)&amp;CHAR(9)&amp;CHAR(9)&amp;"  ",PPC!G4, " ",PPC!G8," ",PPC!G9, " ",PPC!G10," ",PPC!G11," ", PPC!G12," ",PPC!G13," ",PPC!G14," ",PPC!G15&amp;CHAR(10),
CHAR(9)&amp;CHAR(9)&amp;CHAR(9)&amp;CHAR(9)&amp;CHAR(9)&amp;CHAR(9)&amp;"  ",PPC!G16," ",PPC!G17," ",PPC!G18," ",PPC!G19," ",PPC!G20&amp;CHAR(10),
CHAR(9)&amp;CHAR(9)&amp;CHAR(9)&amp;CHAR(9)&amp;CHAR(9)&amp;CHAR(9)&amp;"  ",PPC!G21," ",PPC!G22," ",PPC!G23," ",PPC!G24," ",PPC!G25," ",PPC!G26," ",PPC!G27&amp;CHAR(10),
CHAR(9)&amp;CHAR(9)&amp;CHAR(9)&amp;CHAR(9)&amp;CHAR(9)&amp;CHAR(9)&amp;"  ",PPC!G28," ",PPC!G29," ",PPC!G30," ",PPC!G31," ",PPC!G32," ",PPC!G33," ",PPC!G34,"/")</f>
        <v>80400 'USRMDL' 1 'SMAPPC18' 4 0 4 28 9 21 80100 54040 1 0
						  2 0 5 0.04 0 0 5 0.04 0
						  0 1 0 20 -0.17
						  0 5 0.04 0 1 0.2 0.2
						  0.8 0.8 0.82 1.2 1.18 0.2 1/</v>
      </c>
    </row>
    <row r="94" spans="1:10">
      <c r="A94" s="200"/>
    </row>
    <row r="95" spans="1:10">
      <c r="A95" s="200"/>
    </row>
    <row r="96" spans="1:10">
      <c r="A96" s="200"/>
      <c r="B96" s="79">
        <f>SunnyCentral!G9</f>
        <v>1</v>
      </c>
    </row>
    <row r="97" spans="1:1">
      <c r="A97" s="200"/>
    </row>
    <row r="98" spans="1:1">
      <c r="A98" s="200"/>
    </row>
    <row r="99" spans="1:1">
      <c r="A99" s="200"/>
    </row>
    <row r="100" spans="1:1">
      <c r="A100" s="200"/>
    </row>
    <row r="101" spans="1:1">
      <c r="A101" s="200"/>
    </row>
    <row r="102" spans="1:1">
      <c r="A102" s="200"/>
    </row>
    <row r="103" spans="1:1">
      <c r="A103" s="200"/>
    </row>
    <row r="104" spans="1:1">
      <c r="A104" s="200"/>
    </row>
    <row r="105" spans="1:1">
      <c r="A105" s="200"/>
    </row>
    <row r="106" spans="1:1">
      <c r="A106" s="200"/>
    </row>
    <row r="107" spans="1:1">
      <c r="A107" s="200"/>
    </row>
    <row r="108" spans="1:1">
      <c r="A108" s="200"/>
    </row>
    <row r="109" spans="1:1">
      <c r="A109" s="200"/>
    </row>
    <row r="110" spans="1:1">
      <c r="A110" s="200"/>
    </row>
    <row r="111" spans="1:1">
      <c r="A111" s="200"/>
    </row>
    <row r="112" spans="1:1">
      <c r="A112" s="200"/>
    </row>
    <row r="113" spans="1:1">
      <c r="A113" s="200"/>
    </row>
    <row r="114" spans="1:1">
      <c r="A114" s="200"/>
    </row>
    <row r="115" spans="1:1">
      <c r="A115" s="200"/>
    </row>
    <row r="116" spans="1:1">
      <c r="A116" s="200"/>
    </row>
    <row r="117" spans="1:1">
      <c r="A117" s="200"/>
    </row>
    <row r="118" spans="1:1">
      <c r="A118" s="200"/>
    </row>
    <row r="119" spans="1:1">
      <c r="A119" s="200"/>
    </row>
    <row r="120" spans="1:1">
      <c r="A120" s="200"/>
    </row>
    <row r="121" spans="1:1">
      <c r="A121" s="200"/>
    </row>
    <row r="122" spans="1:1">
      <c r="A122" s="200"/>
    </row>
    <row r="123" spans="1:1">
      <c r="A123" s="200"/>
    </row>
    <row r="124" spans="1:1">
      <c r="A124" s="200"/>
    </row>
    <row r="125" spans="1:1">
      <c r="A125" s="200"/>
    </row>
    <row r="126" spans="1:1">
      <c r="A126" s="200"/>
    </row>
    <row r="127" spans="1:1">
      <c r="A127" s="200"/>
    </row>
    <row r="128" spans="1:1">
      <c r="A128" s="200"/>
    </row>
    <row r="129" spans="1:1">
      <c r="A129" s="200"/>
    </row>
    <row r="130" spans="1:1">
      <c r="A130" s="200"/>
    </row>
    <row r="131" spans="1:1">
      <c r="A131" s="200"/>
    </row>
    <row r="132" spans="1:1">
      <c r="A132" s="200"/>
    </row>
    <row r="133" spans="1:1">
      <c r="A133" s="200"/>
    </row>
    <row r="134" spans="1:1">
      <c r="A134" s="200"/>
    </row>
    <row r="135" spans="1:1">
      <c r="A135" s="200"/>
    </row>
    <row r="136" spans="1:1">
      <c r="A136" s="200"/>
    </row>
    <row r="137" spans="1:1">
      <c r="A137" s="200"/>
    </row>
    <row r="138" spans="1:1">
      <c r="A138" s="200"/>
    </row>
    <row r="139" spans="1:1">
      <c r="A139" s="200"/>
    </row>
    <row r="140" spans="1:1">
      <c r="A140" s="200"/>
    </row>
    <row r="141" spans="1:1">
      <c r="A141" s="200"/>
    </row>
    <row r="142" spans="1:1">
      <c r="A142" s="200"/>
    </row>
    <row r="143" spans="1:1">
      <c r="A143" s="200"/>
    </row>
    <row r="144" spans="1:1">
      <c r="A144" s="200"/>
    </row>
    <row r="145" spans="1:1">
      <c r="A145" s="200"/>
    </row>
    <row r="146" spans="1:1">
      <c r="A146" s="200"/>
    </row>
    <row r="147" spans="1:1">
      <c r="A147" s="200"/>
    </row>
    <row r="148" spans="1:1">
      <c r="A148" s="200"/>
    </row>
    <row r="149" spans="1:1">
      <c r="A149" s="200"/>
    </row>
    <row r="150" spans="1:1">
      <c r="A150" s="200"/>
    </row>
    <row r="151" spans="1:1">
      <c r="A151" s="200"/>
    </row>
    <row r="152" spans="1:1">
      <c r="A152" s="200"/>
    </row>
    <row r="153" spans="1:1">
      <c r="A153" s="200"/>
    </row>
    <row r="154" spans="1:1">
      <c r="A154" s="200"/>
    </row>
    <row r="155" spans="1:1">
      <c r="A155" s="200"/>
    </row>
    <row r="156" spans="1:1">
      <c r="A156" s="200"/>
    </row>
    <row r="157" spans="1:1">
      <c r="A157" s="200"/>
    </row>
    <row r="158" spans="1:1">
      <c r="A158" s="200"/>
    </row>
    <row r="159" spans="1:1">
      <c r="A159" s="200"/>
    </row>
    <row r="160" spans="1:1">
      <c r="A160" s="200"/>
    </row>
    <row r="161" spans="1:1">
      <c r="A161" s="200"/>
    </row>
    <row r="162" spans="1:1">
      <c r="A162" s="200"/>
    </row>
    <row r="163" spans="1:1">
      <c r="A163" s="200"/>
    </row>
    <row r="164" spans="1:1">
      <c r="A164" s="200"/>
    </row>
    <row r="165" spans="1:1">
      <c r="A165" s="200"/>
    </row>
    <row r="166" spans="1:1">
      <c r="A166" s="200"/>
    </row>
    <row r="167" spans="1:1">
      <c r="A167" s="200"/>
    </row>
    <row r="168" spans="1:1">
      <c r="A168" s="200"/>
    </row>
    <row r="169" spans="1:1">
      <c r="A169" s="200"/>
    </row>
    <row r="170" spans="1:1">
      <c r="A170" s="200"/>
    </row>
    <row r="171" spans="1:1">
      <c r="A171" s="200"/>
    </row>
    <row r="172" spans="1:1">
      <c r="A172" s="200"/>
    </row>
    <row r="173" spans="1:1">
      <c r="A173" s="200"/>
    </row>
    <row r="174" spans="1:1">
      <c r="A174" s="200"/>
    </row>
    <row r="175" spans="1:1">
      <c r="A175" s="200"/>
    </row>
    <row r="176" spans="1:1">
      <c r="A176" s="200"/>
    </row>
    <row r="177" spans="1:1">
      <c r="A177" s="200"/>
    </row>
    <row r="178" spans="1:1">
      <c r="A178" s="200"/>
    </row>
  </sheetData>
  <mergeCells count="1">
    <mergeCell ref="A1:A90"/>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2:H90"/>
  <sheetViews>
    <sheetView tabSelected="1" topLeftCell="A11" zoomScaleNormal="100" workbookViewId="0">
      <selection activeCell="F29" sqref="F29:F30"/>
    </sheetView>
  </sheetViews>
  <sheetFormatPr defaultColWidth="9.140625" defaultRowHeight="15"/>
  <cols>
    <col min="2" max="2" width="12.140625" bestFit="1" customWidth="1"/>
    <col min="3" max="3" width="19.42578125" style="1" bestFit="1" customWidth="1"/>
    <col min="4" max="4" width="26.28515625" bestFit="1" customWidth="1"/>
    <col min="5" max="5" width="24.85546875" bestFit="1" customWidth="1"/>
    <col min="7" max="7" width="17.85546875" customWidth="1"/>
    <col min="8" max="8" width="60" customWidth="1"/>
  </cols>
  <sheetData>
    <row r="2" spans="2:8">
      <c r="B2" s="283" t="s">
        <v>285</v>
      </c>
      <c r="C2" s="283"/>
      <c r="D2" s="283"/>
      <c r="E2" s="283"/>
      <c r="F2" s="283"/>
      <c r="G2" s="283"/>
      <c r="H2" s="2"/>
    </row>
    <row r="3" spans="2:8" s="44" customFormat="1" ht="15.75" thickBot="1">
      <c r="B3" s="42" t="s">
        <v>4</v>
      </c>
      <c r="C3" s="43" t="s">
        <v>5</v>
      </c>
      <c r="D3" s="42" t="s">
        <v>6</v>
      </c>
      <c r="E3" s="42" t="s">
        <v>7</v>
      </c>
      <c r="F3" s="42" t="s">
        <v>8</v>
      </c>
      <c r="G3" s="42" t="s">
        <v>282</v>
      </c>
      <c r="H3" s="52" t="s">
        <v>156</v>
      </c>
    </row>
    <row r="4" spans="2:8" ht="15" customHeight="1">
      <c r="B4" s="29" t="s">
        <v>129</v>
      </c>
      <c r="C4" s="30" t="s">
        <v>127</v>
      </c>
      <c r="D4" s="29"/>
      <c r="E4" s="29" t="s">
        <v>128</v>
      </c>
      <c r="F4" s="29"/>
      <c r="G4" s="29"/>
      <c r="H4" s="284" t="s">
        <v>214</v>
      </c>
    </row>
    <row r="5" spans="2:8">
      <c r="B5" s="2" t="s">
        <v>129</v>
      </c>
      <c r="C5" s="3" t="s">
        <v>194</v>
      </c>
      <c r="D5" s="2"/>
      <c r="E5" s="2" t="s">
        <v>130</v>
      </c>
      <c r="F5" s="2"/>
      <c r="G5" s="2"/>
      <c r="H5" s="238"/>
    </row>
    <row r="6" spans="2:8">
      <c r="B6" s="2" t="s">
        <v>129</v>
      </c>
      <c r="C6" s="3" t="s">
        <v>195</v>
      </c>
      <c r="D6" s="2"/>
      <c r="E6" s="2" t="s">
        <v>131</v>
      </c>
      <c r="F6" s="2"/>
      <c r="G6" s="2"/>
      <c r="H6" s="238"/>
    </row>
    <row r="7" spans="2:8">
      <c r="B7" s="2" t="s">
        <v>129</v>
      </c>
      <c r="C7" s="3" t="s">
        <v>196</v>
      </c>
      <c r="D7" s="2"/>
      <c r="E7" s="2" t="s">
        <v>131</v>
      </c>
      <c r="F7" s="2"/>
      <c r="G7" s="2"/>
      <c r="H7" s="238"/>
    </row>
    <row r="8" spans="2:8">
      <c r="B8" s="2" t="s">
        <v>129</v>
      </c>
      <c r="C8" s="53" t="s">
        <v>197</v>
      </c>
      <c r="D8" s="51"/>
      <c r="E8" s="51" t="s">
        <v>198</v>
      </c>
      <c r="F8" s="51"/>
      <c r="G8" s="51"/>
      <c r="H8" s="239"/>
    </row>
    <row r="9" spans="2:8" ht="15.75" thickBot="1">
      <c r="B9" s="33" t="s">
        <v>9</v>
      </c>
      <c r="C9" s="34" t="s">
        <v>77</v>
      </c>
      <c r="D9" s="33"/>
      <c r="E9" s="33" t="s">
        <v>113</v>
      </c>
      <c r="F9" s="33">
        <v>1</v>
      </c>
      <c r="G9" s="33">
        <v>1</v>
      </c>
      <c r="H9" s="33" t="s">
        <v>155</v>
      </c>
    </row>
    <row r="10" spans="2:8">
      <c r="B10" s="29" t="s">
        <v>10</v>
      </c>
      <c r="C10" s="30" t="s">
        <v>78</v>
      </c>
      <c r="D10" s="29"/>
      <c r="E10" s="29" t="s">
        <v>113</v>
      </c>
      <c r="F10" s="29">
        <v>1</v>
      </c>
      <c r="G10" s="29">
        <v>1</v>
      </c>
      <c r="H10" s="29" t="s">
        <v>181</v>
      </c>
    </row>
    <row r="11" spans="2:8" ht="45">
      <c r="B11" s="8" t="s">
        <v>11</v>
      </c>
      <c r="C11" s="12" t="s">
        <v>88</v>
      </c>
      <c r="D11" s="8"/>
      <c r="E11" s="13" t="s">
        <v>170</v>
      </c>
      <c r="F11" s="8">
        <v>0</v>
      </c>
      <c r="G11" s="50">
        <v>0</v>
      </c>
      <c r="H11" s="58" t="s">
        <v>215</v>
      </c>
    </row>
    <row r="12" spans="2:8" ht="15" customHeight="1">
      <c r="B12" s="7" t="s">
        <v>12</v>
      </c>
      <c r="C12" s="10" t="s">
        <v>169</v>
      </c>
      <c r="D12" s="7"/>
      <c r="E12" s="7" t="s">
        <v>112</v>
      </c>
      <c r="F12" s="11">
        <v>1</v>
      </c>
      <c r="G12" s="11">
        <v>1</v>
      </c>
      <c r="H12" s="285" t="s">
        <v>216</v>
      </c>
    </row>
    <row r="13" spans="2:8" ht="15" customHeight="1">
      <c r="B13" s="288" t="s">
        <v>13</v>
      </c>
      <c r="C13" s="289" t="s">
        <v>168</v>
      </c>
      <c r="D13" s="288"/>
      <c r="E13" s="7" t="s">
        <v>110</v>
      </c>
      <c r="F13" s="290">
        <v>0</v>
      </c>
      <c r="G13" s="290">
        <v>1</v>
      </c>
      <c r="H13" s="286"/>
    </row>
    <row r="14" spans="2:8">
      <c r="B14" s="288"/>
      <c r="C14" s="289"/>
      <c r="D14" s="288"/>
      <c r="E14" s="9" t="s">
        <v>111</v>
      </c>
      <c r="F14" s="290"/>
      <c r="G14" s="290"/>
      <c r="H14" s="287"/>
    </row>
    <row r="15" spans="2:8" ht="15" customHeight="1">
      <c r="B15" s="291" t="s">
        <v>14</v>
      </c>
      <c r="C15" s="292" t="s">
        <v>82</v>
      </c>
      <c r="D15" s="291" t="s">
        <v>86</v>
      </c>
      <c r="E15" s="7" t="s">
        <v>87</v>
      </c>
      <c r="F15" s="293">
        <v>0</v>
      </c>
      <c r="G15" s="295">
        <v>1</v>
      </c>
      <c r="H15" s="280" t="s">
        <v>206</v>
      </c>
    </row>
    <row r="16" spans="2:8">
      <c r="B16" s="291"/>
      <c r="C16" s="292"/>
      <c r="D16" s="291"/>
      <c r="E16" s="8" t="s">
        <v>1</v>
      </c>
      <c r="F16" s="294"/>
      <c r="G16" s="296"/>
      <c r="H16" s="281"/>
    </row>
    <row r="17" spans="2:8">
      <c r="B17" s="291"/>
      <c r="C17" s="292"/>
      <c r="D17" s="291"/>
      <c r="E17" s="4" t="s">
        <v>2</v>
      </c>
      <c r="F17" s="294"/>
      <c r="G17" s="296"/>
      <c r="H17" s="281"/>
    </row>
    <row r="18" spans="2:8">
      <c r="B18" s="291"/>
      <c r="C18" s="292"/>
      <c r="D18" s="291"/>
      <c r="E18" s="54" t="s">
        <v>3</v>
      </c>
      <c r="F18" s="294"/>
      <c r="G18" s="297"/>
      <c r="H18" s="282"/>
    </row>
    <row r="19" spans="2:8" ht="15" customHeight="1">
      <c r="B19" s="5" t="s">
        <v>15</v>
      </c>
      <c r="C19" s="6" t="s">
        <v>83</v>
      </c>
      <c r="D19" s="5"/>
      <c r="E19" s="5" t="s">
        <v>118</v>
      </c>
      <c r="F19" s="5">
        <v>1</v>
      </c>
      <c r="G19" s="5">
        <v>1</v>
      </c>
      <c r="H19" s="269" t="s">
        <v>201</v>
      </c>
    </row>
    <row r="20" spans="2:8">
      <c r="B20" s="5" t="s">
        <v>16</v>
      </c>
      <c r="C20" s="6" t="s">
        <v>167</v>
      </c>
      <c r="D20" s="5"/>
      <c r="E20" s="5" t="s">
        <v>119</v>
      </c>
      <c r="F20" s="5">
        <v>0</v>
      </c>
      <c r="G20" s="5">
        <v>0</v>
      </c>
      <c r="H20" s="270"/>
    </row>
    <row r="21" spans="2:8" ht="15" customHeight="1">
      <c r="B21" s="272" t="s">
        <v>17</v>
      </c>
      <c r="C21" s="274" t="s">
        <v>84</v>
      </c>
      <c r="D21" s="276"/>
      <c r="E21" s="272" t="s">
        <v>120</v>
      </c>
      <c r="F21" s="278">
        <v>5</v>
      </c>
      <c r="G21" s="278">
        <v>5</v>
      </c>
      <c r="H21" s="270"/>
    </row>
    <row r="22" spans="2:8">
      <c r="B22" s="273"/>
      <c r="C22" s="275"/>
      <c r="D22" s="277"/>
      <c r="E22" s="273"/>
      <c r="F22" s="279"/>
      <c r="G22" s="279"/>
      <c r="H22" s="270"/>
    </row>
    <row r="23" spans="2:8">
      <c r="B23" s="5" t="s">
        <v>18</v>
      </c>
      <c r="C23" s="6" t="s">
        <v>85</v>
      </c>
      <c r="D23" s="5"/>
      <c r="E23" s="5" t="s">
        <v>121</v>
      </c>
      <c r="F23" s="5">
        <v>0.5</v>
      </c>
      <c r="G23" s="5">
        <v>0.5</v>
      </c>
      <c r="H23" s="270"/>
    </row>
    <row r="24" spans="2:8">
      <c r="B24" s="5" t="s">
        <v>19</v>
      </c>
      <c r="C24" s="6" t="s">
        <v>81</v>
      </c>
      <c r="D24" s="5"/>
      <c r="E24" s="5" t="s">
        <v>117</v>
      </c>
      <c r="F24" s="5">
        <v>2</v>
      </c>
      <c r="G24" s="5">
        <v>2</v>
      </c>
      <c r="H24" s="271"/>
    </row>
    <row r="25" spans="2:8">
      <c r="B25" s="267" t="s">
        <v>20</v>
      </c>
      <c r="C25" s="267" t="s">
        <v>160</v>
      </c>
      <c r="D25" s="263"/>
      <c r="E25" s="4" t="s">
        <v>110</v>
      </c>
      <c r="F25" s="265">
        <v>0</v>
      </c>
      <c r="G25" s="265">
        <v>0</v>
      </c>
      <c r="H25" s="260" t="s">
        <v>207</v>
      </c>
    </row>
    <row r="26" spans="2:8">
      <c r="B26" s="268"/>
      <c r="C26" s="268"/>
      <c r="D26" s="264"/>
      <c r="E26" s="4" t="s">
        <v>111</v>
      </c>
      <c r="F26" s="266"/>
      <c r="G26" s="266"/>
      <c r="H26" s="261"/>
    </row>
    <row r="27" spans="2:8">
      <c r="B27" s="4" t="s">
        <v>21</v>
      </c>
      <c r="C27" s="4" t="s">
        <v>161</v>
      </c>
      <c r="D27" s="4"/>
      <c r="E27" s="4" t="s">
        <v>112</v>
      </c>
      <c r="F27" s="4">
        <v>0.9</v>
      </c>
      <c r="G27" s="4">
        <v>0.9</v>
      </c>
      <c r="H27" s="261"/>
    </row>
    <row r="28" spans="2:8">
      <c r="B28" s="4" t="s">
        <v>22</v>
      </c>
      <c r="C28" s="4" t="s">
        <v>162</v>
      </c>
      <c r="D28" s="4"/>
      <c r="E28" s="4" t="s">
        <v>114</v>
      </c>
      <c r="F28" s="4">
        <v>0.5</v>
      </c>
      <c r="G28" s="4">
        <v>0.5</v>
      </c>
      <c r="H28" s="261"/>
    </row>
    <row r="29" spans="2:8">
      <c r="B29" s="260" t="s">
        <v>23</v>
      </c>
      <c r="C29" s="260" t="s">
        <v>163</v>
      </c>
      <c r="D29" s="263"/>
      <c r="E29" s="4" t="s">
        <v>110</v>
      </c>
      <c r="F29" s="265">
        <v>1</v>
      </c>
      <c r="G29" s="265">
        <v>1</v>
      </c>
      <c r="H29" s="261"/>
    </row>
    <row r="30" spans="2:8">
      <c r="B30" s="262"/>
      <c r="C30" s="262"/>
      <c r="D30" s="264"/>
      <c r="E30" s="4" t="s">
        <v>111</v>
      </c>
      <c r="F30" s="266"/>
      <c r="G30" s="266"/>
      <c r="H30" s="261"/>
    </row>
    <row r="31" spans="2:8">
      <c r="B31" s="4" t="s">
        <v>24</v>
      </c>
      <c r="C31" s="4" t="s">
        <v>164</v>
      </c>
      <c r="D31" s="4"/>
      <c r="E31" s="4" t="s">
        <v>112</v>
      </c>
      <c r="F31" s="4">
        <v>0.9</v>
      </c>
      <c r="G31" s="4">
        <v>0.9</v>
      </c>
      <c r="H31" s="261"/>
    </row>
    <row r="32" spans="2:8">
      <c r="B32" s="4" t="s">
        <v>25</v>
      </c>
      <c r="C32" s="4" t="s">
        <v>165</v>
      </c>
      <c r="D32" s="4"/>
      <c r="E32" s="4" t="s">
        <v>114</v>
      </c>
      <c r="F32" s="4">
        <v>0.9</v>
      </c>
      <c r="G32" s="4">
        <v>0.9</v>
      </c>
      <c r="H32" s="262"/>
    </row>
    <row r="33" spans="2:8" ht="23.25" customHeight="1">
      <c r="B33" s="257" t="s">
        <v>26</v>
      </c>
      <c r="C33" s="258" t="s">
        <v>132</v>
      </c>
      <c r="D33" s="257"/>
      <c r="E33" s="27" t="s">
        <v>115</v>
      </c>
      <c r="F33" s="259">
        <v>0</v>
      </c>
      <c r="G33" s="259">
        <v>0</v>
      </c>
      <c r="H33" s="248" t="s">
        <v>217</v>
      </c>
    </row>
    <row r="34" spans="2:8" ht="21.75" customHeight="1">
      <c r="B34" s="257"/>
      <c r="C34" s="258"/>
      <c r="D34" s="257"/>
      <c r="E34" s="49" t="s">
        <v>0</v>
      </c>
      <c r="F34" s="259"/>
      <c r="G34" s="259"/>
      <c r="H34" s="249"/>
    </row>
    <row r="35" spans="2:8">
      <c r="B35" s="27" t="s">
        <v>27</v>
      </c>
      <c r="C35" s="28" t="s">
        <v>79</v>
      </c>
      <c r="D35" s="27"/>
      <c r="E35" s="27" t="s">
        <v>116</v>
      </c>
      <c r="F35" s="27">
        <v>0.2</v>
      </c>
      <c r="G35" s="27">
        <v>0.5</v>
      </c>
      <c r="H35" s="248" t="s">
        <v>188</v>
      </c>
    </row>
    <row r="36" spans="2:8">
      <c r="B36" s="27" t="s">
        <v>28</v>
      </c>
      <c r="C36" s="28" t="s">
        <v>80</v>
      </c>
      <c r="D36" s="27"/>
      <c r="E36" s="27" t="s">
        <v>116</v>
      </c>
      <c r="F36" s="27">
        <v>0.05</v>
      </c>
      <c r="G36" s="27">
        <v>0.05</v>
      </c>
      <c r="H36" s="250"/>
    </row>
    <row r="37" spans="2:8">
      <c r="B37" s="27" t="s">
        <v>29</v>
      </c>
      <c r="C37" s="28" t="s">
        <v>166</v>
      </c>
      <c r="D37" s="27"/>
      <c r="E37" s="27" t="s">
        <v>114</v>
      </c>
      <c r="F37" s="27">
        <v>0.4</v>
      </c>
      <c r="G37" s="27">
        <v>1</v>
      </c>
      <c r="H37" s="249"/>
    </row>
    <row r="38" spans="2:8">
      <c r="B38" s="2" t="s">
        <v>30</v>
      </c>
      <c r="C38" s="3" t="s">
        <v>99</v>
      </c>
      <c r="D38" s="2"/>
      <c r="E38" s="2" t="s">
        <v>114</v>
      </c>
      <c r="F38" s="2">
        <v>0.35</v>
      </c>
      <c r="G38" s="2">
        <v>0.35</v>
      </c>
      <c r="H38" s="237" t="s">
        <v>208</v>
      </c>
    </row>
    <row r="39" spans="2:8">
      <c r="B39" s="2" t="s">
        <v>31</v>
      </c>
      <c r="C39" s="3" t="s">
        <v>100</v>
      </c>
      <c r="D39" s="2"/>
      <c r="E39" s="2" t="s">
        <v>213</v>
      </c>
      <c r="F39" s="2">
        <v>0.35</v>
      </c>
      <c r="G39" s="2">
        <v>0.35</v>
      </c>
      <c r="H39" s="239"/>
    </row>
    <row r="40" spans="2:8">
      <c r="B40" s="251" t="s">
        <v>32</v>
      </c>
      <c r="C40" s="252" t="s">
        <v>89</v>
      </c>
      <c r="D40" s="251" t="s">
        <v>107</v>
      </c>
      <c r="E40" s="14" t="s">
        <v>171</v>
      </c>
      <c r="F40" s="253">
        <v>1</v>
      </c>
      <c r="G40" s="253">
        <v>2</v>
      </c>
      <c r="H40" s="241" t="s">
        <v>192</v>
      </c>
    </row>
    <row r="41" spans="2:8">
      <c r="B41" s="251"/>
      <c r="C41" s="252"/>
      <c r="D41" s="251"/>
      <c r="E41" s="15" t="s">
        <v>109</v>
      </c>
      <c r="F41" s="254"/>
      <c r="G41" s="254"/>
      <c r="H41" s="256"/>
    </row>
    <row r="42" spans="2:8">
      <c r="B42" s="251"/>
      <c r="C42" s="252"/>
      <c r="D42" s="251"/>
      <c r="E42" s="16" t="s">
        <v>108</v>
      </c>
      <c r="F42" s="255"/>
      <c r="G42" s="255"/>
      <c r="H42" s="242"/>
    </row>
    <row r="43" spans="2:8">
      <c r="B43" s="15" t="s">
        <v>33</v>
      </c>
      <c r="C43" s="17" t="s">
        <v>90</v>
      </c>
      <c r="D43" s="15"/>
      <c r="E43" s="15" t="s">
        <v>122</v>
      </c>
      <c r="F43" s="15">
        <v>2</v>
      </c>
      <c r="G43" s="15">
        <v>2</v>
      </c>
      <c r="H43" s="15" t="s">
        <v>157</v>
      </c>
    </row>
    <row r="44" spans="2:8" ht="15" customHeight="1">
      <c r="B44" s="16" t="s">
        <v>34</v>
      </c>
      <c r="C44" s="16" t="s">
        <v>101</v>
      </c>
      <c r="D44" s="16"/>
      <c r="E44" s="16" t="s">
        <v>122</v>
      </c>
      <c r="F44" s="16">
        <v>2</v>
      </c>
      <c r="G44" s="16">
        <v>2</v>
      </c>
      <c r="H44" s="241" t="s">
        <v>193</v>
      </c>
    </row>
    <row r="45" spans="2:8">
      <c r="B45" s="16" t="s">
        <v>35</v>
      </c>
      <c r="C45" s="16" t="s">
        <v>172</v>
      </c>
      <c r="D45" s="16"/>
      <c r="E45" s="16" t="s">
        <v>122</v>
      </c>
      <c r="F45" s="16">
        <v>2</v>
      </c>
      <c r="G45" s="16">
        <v>2</v>
      </c>
      <c r="H45" s="242"/>
    </row>
    <row r="46" spans="2:8">
      <c r="B46" s="35" t="s">
        <v>36</v>
      </c>
      <c r="C46" s="36" t="s">
        <v>102</v>
      </c>
      <c r="D46" s="35"/>
      <c r="E46" s="35" t="s">
        <v>114</v>
      </c>
      <c r="F46" s="35">
        <v>0.1</v>
      </c>
      <c r="G46" s="35">
        <v>0.25</v>
      </c>
      <c r="H46" s="243" t="s">
        <v>189</v>
      </c>
    </row>
    <row r="47" spans="2:8">
      <c r="B47" s="35" t="s">
        <v>37</v>
      </c>
      <c r="C47" s="36" t="s">
        <v>103</v>
      </c>
      <c r="D47" s="35"/>
      <c r="E47" s="37" t="s">
        <v>124</v>
      </c>
      <c r="F47" s="35">
        <v>-0.1</v>
      </c>
      <c r="G47" s="35">
        <v>-0.25</v>
      </c>
      <c r="H47" s="244"/>
    </row>
    <row r="48" spans="2:8">
      <c r="B48" s="20" t="s">
        <v>38</v>
      </c>
      <c r="C48" s="21" t="s">
        <v>97</v>
      </c>
      <c r="D48" s="20"/>
      <c r="E48" s="20" t="s">
        <v>114</v>
      </c>
      <c r="F48" s="20">
        <v>0.2</v>
      </c>
      <c r="G48" s="20">
        <v>0.2</v>
      </c>
      <c r="H48" s="20" t="s">
        <v>190</v>
      </c>
    </row>
    <row r="49" spans="2:8">
      <c r="B49" s="14" t="s">
        <v>39</v>
      </c>
      <c r="C49" s="22" t="s">
        <v>98</v>
      </c>
      <c r="D49" s="14"/>
      <c r="E49" s="14" t="s">
        <v>114</v>
      </c>
      <c r="F49" s="14">
        <v>0.2</v>
      </c>
      <c r="G49" s="14">
        <v>0.2</v>
      </c>
      <c r="H49" s="14" t="s">
        <v>191</v>
      </c>
    </row>
    <row r="50" spans="2:8">
      <c r="B50" s="25" t="s">
        <v>40</v>
      </c>
      <c r="C50" s="26" t="s">
        <v>106</v>
      </c>
      <c r="D50" s="25"/>
      <c r="E50" s="25" t="s">
        <v>126</v>
      </c>
      <c r="F50" s="25">
        <v>0</v>
      </c>
      <c r="G50" s="25">
        <v>0.01</v>
      </c>
      <c r="H50" s="25" t="s">
        <v>184</v>
      </c>
    </row>
    <row r="51" spans="2:8">
      <c r="B51" s="235" t="s">
        <v>41</v>
      </c>
      <c r="C51" s="235" t="s">
        <v>203</v>
      </c>
      <c r="D51" s="237" t="s">
        <v>211</v>
      </c>
      <c r="E51" s="2" t="s">
        <v>115</v>
      </c>
      <c r="F51" s="246">
        <v>1</v>
      </c>
      <c r="G51" s="246">
        <v>0</v>
      </c>
      <c r="H51" s="237" t="s">
        <v>212</v>
      </c>
    </row>
    <row r="52" spans="2:8">
      <c r="B52" s="245"/>
      <c r="C52" s="245"/>
      <c r="D52" s="239"/>
      <c r="E52" s="2" t="s">
        <v>0</v>
      </c>
      <c r="F52" s="247"/>
      <c r="G52" s="247"/>
      <c r="H52" s="239"/>
    </row>
    <row r="53" spans="2:8">
      <c r="B53" s="2" t="s">
        <v>42</v>
      </c>
      <c r="C53" s="2" t="s">
        <v>204</v>
      </c>
      <c r="D53" s="2"/>
      <c r="E53" s="2" t="s">
        <v>209</v>
      </c>
      <c r="F53" s="2">
        <v>20</v>
      </c>
      <c r="G53" s="2">
        <v>20</v>
      </c>
      <c r="H53" s="2" t="s">
        <v>210</v>
      </c>
    </row>
    <row r="54" spans="2:8">
      <c r="B54" s="2" t="s">
        <v>43</v>
      </c>
      <c r="C54" s="2" t="s">
        <v>185</v>
      </c>
      <c r="D54" s="2"/>
      <c r="E54" s="2" t="s">
        <v>125</v>
      </c>
      <c r="F54" s="2">
        <v>0.5</v>
      </c>
      <c r="G54" s="2">
        <v>0.5</v>
      </c>
      <c r="H54" s="2" t="s">
        <v>186</v>
      </c>
    </row>
    <row r="55" spans="2:8" ht="60">
      <c r="B55" s="56" t="s">
        <v>44</v>
      </c>
      <c r="C55" s="56" t="s">
        <v>174</v>
      </c>
      <c r="D55" s="45" t="s">
        <v>176</v>
      </c>
      <c r="E55" s="57" t="s">
        <v>177</v>
      </c>
      <c r="F55" s="57">
        <v>0.8</v>
      </c>
      <c r="G55" s="57">
        <v>0</v>
      </c>
      <c r="H55" s="233" t="s">
        <v>199</v>
      </c>
    </row>
    <row r="56" spans="2:8" ht="45">
      <c r="B56" s="56" t="s">
        <v>45</v>
      </c>
      <c r="C56" s="56" t="s">
        <v>173</v>
      </c>
      <c r="D56" s="45" t="s">
        <v>175</v>
      </c>
      <c r="E56" s="57" t="s">
        <v>177</v>
      </c>
      <c r="F56" s="57">
        <v>0.82</v>
      </c>
      <c r="G56" s="57">
        <v>0</v>
      </c>
      <c r="H56" s="234"/>
    </row>
    <row r="57" spans="2:8">
      <c r="B57" s="47" t="s">
        <v>46</v>
      </c>
      <c r="C57" s="47" t="s">
        <v>104</v>
      </c>
      <c r="D57" s="48"/>
      <c r="E57" s="55" t="s">
        <v>123</v>
      </c>
      <c r="F57" s="46">
        <v>0</v>
      </c>
      <c r="G57" s="46">
        <v>0</v>
      </c>
      <c r="H57" s="2" t="s">
        <v>183</v>
      </c>
    </row>
    <row r="58" spans="2:8" ht="15" customHeight="1">
      <c r="B58" s="47" t="s">
        <v>47</v>
      </c>
      <c r="C58" s="3" t="s">
        <v>178</v>
      </c>
      <c r="D58" s="2"/>
      <c r="E58" s="2" t="s">
        <v>125</v>
      </c>
      <c r="F58" s="2">
        <v>0.125</v>
      </c>
      <c r="G58" s="2">
        <v>0.15</v>
      </c>
      <c r="H58" s="235" t="s">
        <v>179</v>
      </c>
    </row>
    <row r="59" spans="2:8">
      <c r="B59" s="47" t="s">
        <v>48</v>
      </c>
      <c r="C59" s="47" t="s">
        <v>105</v>
      </c>
      <c r="D59" s="48"/>
      <c r="E59" s="55" t="s">
        <v>125</v>
      </c>
      <c r="F59" s="46">
        <v>0.1</v>
      </c>
      <c r="G59" s="46">
        <v>0.1</v>
      </c>
      <c r="H59" s="236"/>
    </row>
    <row r="60" spans="2:8">
      <c r="B60" s="39" t="s">
        <v>49</v>
      </c>
      <c r="C60" s="39" t="s">
        <v>143</v>
      </c>
      <c r="D60" s="38"/>
      <c r="E60" s="38"/>
      <c r="F60" s="38">
        <v>1.2</v>
      </c>
      <c r="G60" s="38">
        <v>1.3</v>
      </c>
      <c r="H60" s="237" t="s">
        <v>218</v>
      </c>
    </row>
    <row r="61" spans="2:8">
      <c r="B61" s="39" t="s">
        <v>50</v>
      </c>
      <c r="C61" s="39" t="s">
        <v>144</v>
      </c>
      <c r="D61" s="38"/>
      <c r="E61" s="38"/>
      <c r="F61" s="38">
        <v>0.16</v>
      </c>
      <c r="G61" s="38">
        <v>0</v>
      </c>
      <c r="H61" s="238"/>
    </row>
    <row r="62" spans="2:8">
      <c r="B62" s="39" t="s">
        <v>51</v>
      </c>
      <c r="C62" s="39" t="s">
        <v>145</v>
      </c>
      <c r="D62" s="38"/>
      <c r="E62" s="38"/>
      <c r="F62" s="38">
        <v>1.2</v>
      </c>
      <c r="G62" s="38">
        <v>1.1499999999999999</v>
      </c>
      <c r="H62" s="238"/>
    </row>
    <row r="63" spans="2:8">
      <c r="B63" s="39" t="s">
        <v>52</v>
      </c>
      <c r="C63" s="39" t="s">
        <v>146</v>
      </c>
      <c r="D63" s="38"/>
      <c r="E63" s="38"/>
      <c r="F63" s="38">
        <v>0.16</v>
      </c>
      <c r="G63" s="38">
        <v>3</v>
      </c>
      <c r="H63" s="238"/>
    </row>
    <row r="64" spans="2:8">
      <c r="B64" s="39" t="s">
        <v>53</v>
      </c>
      <c r="C64" s="39" t="s">
        <v>147</v>
      </c>
      <c r="D64" s="38"/>
      <c r="E64" s="38"/>
      <c r="F64" s="38">
        <v>1.1000000000000001</v>
      </c>
      <c r="G64" s="38">
        <v>1.1499999999999999</v>
      </c>
      <c r="H64" s="238"/>
    </row>
    <row r="65" spans="2:8">
      <c r="B65" s="39" t="s">
        <v>54</v>
      </c>
      <c r="C65" s="39" t="s">
        <v>148</v>
      </c>
      <c r="D65" s="38"/>
      <c r="E65" s="38"/>
      <c r="F65" s="38">
        <v>1</v>
      </c>
      <c r="G65" s="38">
        <v>3</v>
      </c>
      <c r="H65" s="238"/>
    </row>
    <row r="66" spans="2:8">
      <c r="B66" s="41" t="s">
        <v>55</v>
      </c>
      <c r="C66" s="41" t="s">
        <v>149</v>
      </c>
      <c r="D66" s="40"/>
      <c r="E66" s="40"/>
      <c r="F66" s="40">
        <v>0.88</v>
      </c>
      <c r="G66" s="40">
        <v>0.8</v>
      </c>
      <c r="H66" s="238"/>
    </row>
    <row r="67" spans="2:8">
      <c r="B67" s="41" t="s">
        <v>56</v>
      </c>
      <c r="C67" s="41" t="s">
        <v>150</v>
      </c>
      <c r="D67" s="40"/>
      <c r="E67" s="40"/>
      <c r="F67" s="40">
        <v>2</v>
      </c>
      <c r="G67" s="40">
        <v>5</v>
      </c>
      <c r="H67" s="238"/>
    </row>
    <row r="68" spans="2:8">
      <c r="B68" s="41" t="s">
        <v>57</v>
      </c>
      <c r="C68" s="41" t="s">
        <v>151</v>
      </c>
      <c r="D68" s="40"/>
      <c r="E68" s="40"/>
      <c r="F68" s="40">
        <v>0.5</v>
      </c>
      <c r="G68" s="40">
        <v>0.2</v>
      </c>
      <c r="H68" s="238"/>
    </row>
    <row r="69" spans="2:8">
      <c r="B69" s="41" t="s">
        <v>58</v>
      </c>
      <c r="C69" s="41" t="s">
        <v>152</v>
      </c>
      <c r="D69" s="40"/>
      <c r="E69" s="40"/>
      <c r="F69" s="40">
        <v>0.16</v>
      </c>
      <c r="G69" s="40">
        <v>1.2</v>
      </c>
      <c r="H69" s="238"/>
    </row>
    <row r="70" spans="2:8">
      <c r="B70" s="41" t="s">
        <v>59</v>
      </c>
      <c r="C70" s="41" t="s">
        <v>153</v>
      </c>
      <c r="D70" s="40"/>
      <c r="E70" s="40"/>
      <c r="F70" s="40">
        <v>0.5</v>
      </c>
      <c r="G70" s="40">
        <v>0.2</v>
      </c>
      <c r="H70" s="238"/>
    </row>
    <row r="71" spans="2:8">
      <c r="B71" s="41" t="s">
        <v>60</v>
      </c>
      <c r="C71" s="41" t="s">
        <v>154</v>
      </c>
      <c r="D71" s="40"/>
      <c r="E71" s="40"/>
      <c r="F71" s="40">
        <v>0.16</v>
      </c>
      <c r="G71" s="40">
        <v>1.2</v>
      </c>
      <c r="H71" s="238"/>
    </row>
    <row r="72" spans="2:8">
      <c r="B72" s="24" t="s">
        <v>61</v>
      </c>
      <c r="C72" s="24" t="s">
        <v>158</v>
      </c>
      <c r="D72" s="23"/>
      <c r="E72" s="23"/>
      <c r="F72" s="23">
        <v>65</v>
      </c>
      <c r="G72" s="23">
        <v>55</v>
      </c>
      <c r="H72" s="238"/>
    </row>
    <row r="73" spans="2:8">
      <c r="B73" s="24" t="s">
        <v>62</v>
      </c>
      <c r="C73" s="24" t="s">
        <v>159</v>
      </c>
      <c r="D73" s="23"/>
      <c r="E73" s="23"/>
      <c r="F73" s="23">
        <v>0.1</v>
      </c>
      <c r="G73" s="23">
        <v>60</v>
      </c>
      <c r="H73" s="238"/>
    </row>
    <row r="74" spans="2:8">
      <c r="B74" s="24" t="s">
        <v>63</v>
      </c>
      <c r="C74" s="24" t="s">
        <v>133</v>
      </c>
      <c r="D74" s="23"/>
      <c r="E74" s="23"/>
      <c r="F74" s="23">
        <v>65</v>
      </c>
      <c r="G74" s="23">
        <v>55</v>
      </c>
      <c r="H74" s="238"/>
    </row>
    <row r="75" spans="2:8">
      <c r="B75" s="24" t="s">
        <v>64</v>
      </c>
      <c r="C75" s="24" t="s">
        <v>134</v>
      </c>
      <c r="D75" s="23"/>
      <c r="E75" s="23"/>
      <c r="F75" s="23">
        <v>0.1</v>
      </c>
      <c r="G75" s="23">
        <v>60</v>
      </c>
      <c r="H75" s="238"/>
    </row>
    <row r="76" spans="2:8">
      <c r="B76" s="24" t="s">
        <v>65</v>
      </c>
      <c r="C76" s="24" t="s">
        <v>135</v>
      </c>
      <c r="D76" s="23"/>
      <c r="E76" s="23"/>
      <c r="F76" s="23">
        <v>60.5</v>
      </c>
      <c r="G76" s="23">
        <v>55</v>
      </c>
      <c r="H76" s="238"/>
    </row>
    <row r="77" spans="2:8">
      <c r="B77" s="24" t="s">
        <v>66</v>
      </c>
      <c r="C77" s="24" t="s">
        <v>136</v>
      </c>
      <c r="D77" s="23"/>
      <c r="E77" s="23"/>
      <c r="F77" s="23">
        <v>0.16</v>
      </c>
      <c r="G77" s="23">
        <v>60</v>
      </c>
      <c r="H77" s="238"/>
    </row>
    <row r="78" spans="2:8">
      <c r="B78" s="31" t="s">
        <v>67</v>
      </c>
      <c r="C78" s="31" t="s">
        <v>137</v>
      </c>
      <c r="D78" s="32"/>
      <c r="E78" s="32"/>
      <c r="F78" s="32">
        <v>59.3</v>
      </c>
      <c r="G78" s="32">
        <v>45</v>
      </c>
      <c r="H78" s="238"/>
    </row>
    <row r="79" spans="2:8">
      <c r="B79" s="31" t="s">
        <v>68</v>
      </c>
      <c r="C79" s="31" t="s">
        <v>138</v>
      </c>
      <c r="D79" s="32"/>
      <c r="E79" s="32"/>
      <c r="F79" s="32">
        <v>0.16</v>
      </c>
      <c r="G79" s="32">
        <v>60</v>
      </c>
      <c r="H79" s="238"/>
    </row>
    <row r="80" spans="2:8">
      <c r="B80" s="31" t="s">
        <v>69</v>
      </c>
      <c r="C80" s="31" t="s">
        <v>139</v>
      </c>
      <c r="D80" s="32"/>
      <c r="E80" s="32"/>
      <c r="F80" s="32">
        <v>57</v>
      </c>
      <c r="G80" s="32">
        <v>45</v>
      </c>
      <c r="H80" s="238"/>
    </row>
    <row r="81" spans="2:8">
      <c r="B81" s="31" t="s">
        <v>70</v>
      </c>
      <c r="C81" s="31" t="s">
        <v>140</v>
      </c>
      <c r="D81" s="32"/>
      <c r="E81" s="32"/>
      <c r="F81" s="32">
        <v>0.16</v>
      </c>
      <c r="G81" s="32">
        <v>60</v>
      </c>
      <c r="H81" s="238"/>
    </row>
    <row r="82" spans="2:8">
      <c r="B82" s="31" t="s">
        <v>71</v>
      </c>
      <c r="C82" s="31" t="s">
        <v>141</v>
      </c>
      <c r="D82" s="32"/>
      <c r="E82" s="32"/>
      <c r="F82" s="32">
        <v>50</v>
      </c>
      <c r="G82" s="32">
        <v>45</v>
      </c>
      <c r="H82" s="238"/>
    </row>
    <row r="83" spans="2:8">
      <c r="B83" s="31" t="s">
        <v>72</v>
      </c>
      <c r="C83" s="31" t="s">
        <v>142</v>
      </c>
      <c r="D83" s="32"/>
      <c r="E83" s="32"/>
      <c r="F83" s="32">
        <v>0.1</v>
      </c>
      <c r="G83" s="32">
        <v>60</v>
      </c>
      <c r="H83" s="239"/>
    </row>
    <row r="84" spans="2:8">
      <c r="B84" s="19" t="s">
        <v>73</v>
      </c>
      <c r="C84" s="19" t="s">
        <v>91</v>
      </c>
      <c r="D84" s="18"/>
      <c r="E84" s="18"/>
      <c r="F84" s="18">
        <v>30</v>
      </c>
      <c r="G84" s="18">
        <v>30</v>
      </c>
      <c r="H84" s="233" t="s">
        <v>187</v>
      </c>
    </row>
    <row r="85" spans="2:8">
      <c r="B85" s="19" t="s">
        <v>74</v>
      </c>
      <c r="C85" s="19" t="s">
        <v>92</v>
      </c>
      <c r="D85" s="18"/>
      <c r="E85" s="18"/>
      <c r="F85" s="18">
        <v>1</v>
      </c>
      <c r="G85" s="18">
        <v>1</v>
      </c>
      <c r="H85" s="240"/>
    </row>
    <row r="86" spans="2:8">
      <c r="B86" s="19" t="s">
        <v>75</v>
      </c>
      <c r="C86" s="19" t="s">
        <v>93</v>
      </c>
      <c r="D86" s="18"/>
      <c r="E86" s="18"/>
      <c r="F86" s="18">
        <v>10</v>
      </c>
      <c r="G86" s="18">
        <v>10</v>
      </c>
      <c r="H86" s="240"/>
    </row>
    <row r="87" spans="2:8">
      <c r="B87" s="19" t="s">
        <v>76</v>
      </c>
      <c r="C87" s="19" t="s">
        <v>94</v>
      </c>
      <c r="D87" s="18"/>
      <c r="E87" s="18"/>
      <c r="F87" s="18">
        <v>30</v>
      </c>
      <c r="G87" s="18">
        <v>30</v>
      </c>
      <c r="H87" s="240"/>
    </row>
    <row r="88" spans="2:8">
      <c r="B88" s="19" t="s">
        <v>182</v>
      </c>
      <c r="C88" s="19" t="s">
        <v>95</v>
      </c>
      <c r="D88" s="18"/>
      <c r="E88" s="18"/>
      <c r="F88" s="18">
        <v>0</v>
      </c>
      <c r="G88" s="18">
        <v>0</v>
      </c>
      <c r="H88" s="240"/>
    </row>
    <row r="89" spans="2:8">
      <c r="B89" s="19" t="s">
        <v>202</v>
      </c>
      <c r="C89" s="19" t="s">
        <v>95</v>
      </c>
      <c r="D89" s="18"/>
      <c r="E89" s="18"/>
      <c r="F89" s="18">
        <v>10</v>
      </c>
      <c r="G89" s="18">
        <v>10</v>
      </c>
      <c r="H89" s="240"/>
    </row>
    <row r="90" spans="2:8">
      <c r="B90" s="19" t="s">
        <v>205</v>
      </c>
      <c r="C90" s="19" t="s">
        <v>96</v>
      </c>
      <c r="D90" s="18"/>
      <c r="E90" s="18" t="s">
        <v>123</v>
      </c>
      <c r="F90" s="18">
        <v>0</v>
      </c>
      <c r="G90" s="18">
        <v>0</v>
      </c>
      <c r="H90" s="234"/>
    </row>
  </sheetData>
  <mergeCells count="58">
    <mergeCell ref="H15:H18"/>
    <mergeCell ref="B2:G2"/>
    <mergeCell ref="H4:H8"/>
    <mergeCell ref="H12:H14"/>
    <mergeCell ref="B13:B14"/>
    <mergeCell ref="C13:C14"/>
    <mergeCell ref="D13:D14"/>
    <mergeCell ref="F13:F14"/>
    <mergeCell ref="G13:G14"/>
    <mergeCell ref="B15:B18"/>
    <mergeCell ref="C15:C18"/>
    <mergeCell ref="D15:D18"/>
    <mergeCell ref="F15:F18"/>
    <mergeCell ref="G15:G18"/>
    <mergeCell ref="H19:H24"/>
    <mergeCell ref="B21:B22"/>
    <mergeCell ref="C21:C22"/>
    <mergeCell ref="D21:D22"/>
    <mergeCell ref="E21:E22"/>
    <mergeCell ref="F21:F22"/>
    <mergeCell ref="G21:G22"/>
    <mergeCell ref="H25:H32"/>
    <mergeCell ref="B29:B30"/>
    <mergeCell ref="C29:C30"/>
    <mergeCell ref="D29:D30"/>
    <mergeCell ref="F29:F30"/>
    <mergeCell ref="B25:B26"/>
    <mergeCell ref="C25:C26"/>
    <mergeCell ref="D25:D26"/>
    <mergeCell ref="F25:F26"/>
    <mergeCell ref="G25:G26"/>
    <mergeCell ref="G29:G30"/>
    <mergeCell ref="H33:H34"/>
    <mergeCell ref="H35:H37"/>
    <mergeCell ref="H38:H39"/>
    <mergeCell ref="B40:B42"/>
    <mergeCell ref="C40:C42"/>
    <mergeCell ref="D40:D42"/>
    <mergeCell ref="F40:F42"/>
    <mergeCell ref="G40:G42"/>
    <mergeCell ref="H40:H42"/>
    <mergeCell ref="B33:B34"/>
    <mergeCell ref="C33:C34"/>
    <mergeCell ref="D33:D34"/>
    <mergeCell ref="F33:F34"/>
    <mergeCell ref="G33:G34"/>
    <mergeCell ref="B51:B52"/>
    <mergeCell ref="C51:C52"/>
    <mergeCell ref="D51:D52"/>
    <mergeCell ref="F51:F52"/>
    <mergeCell ref="G51:G52"/>
    <mergeCell ref="H55:H56"/>
    <mergeCell ref="H58:H59"/>
    <mergeCell ref="H60:H83"/>
    <mergeCell ref="H84:H90"/>
    <mergeCell ref="H44:H45"/>
    <mergeCell ref="H46:H47"/>
    <mergeCell ref="H51:H5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2:I94"/>
  <sheetViews>
    <sheetView zoomScale="85" zoomScaleNormal="85" workbookViewId="0">
      <pane ySplit="3" topLeftCell="A60" activePane="bottomLeft" state="frozen"/>
      <selection pane="bottomLeft" activeCell="H94" sqref="H94"/>
    </sheetView>
  </sheetViews>
  <sheetFormatPr defaultColWidth="9.140625" defaultRowHeight="15"/>
  <cols>
    <col min="2" max="2" width="12.140625" bestFit="1" customWidth="1"/>
    <col min="3" max="3" width="19.42578125" style="1" bestFit="1" customWidth="1"/>
    <col min="4" max="4" width="27.7109375" customWidth="1"/>
    <col min="5" max="5" width="24.85546875" bestFit="1" customWidth="1"/>
    <col min="6" max="6" width="18.7109375" bestFit="1" customWidth="1"/>
    <col min="7" max="7" width="19.5703125" bestFit="1" customWidth="1"/>
    <col min="8" max="8" width="17.85546875" customWidth="1"/>
    <col min="9" max="9" width="60" customWidth="1"/>
  </cols>
  <sheetData>
    <row r="2" spans="1:9">
      <c r="B2" s="283" t="s">
        <v>340</v>
      </c>
      <c r="C2" s="283"/>
      <c r="D2" s="283"/>
      <c r="E2" s="283"/>
      <c r="F2" s="283"/>
      <c r="G2" s="283"/>
      <c r="H2" s="180"/>
      <c r="I2" s="2"/>
    </row>
    <row r="3" spans="1:9" s="44" customFormat="1" ht="15.75" thickBot="1">
      <c r="B3" s="42" t="s">
        <v>4</v>
      </c>
      <c r="C3" s="43" t="s">
        <v>5</v>
      </c>
      <c r="D3" s="42" t="s">
        <v>6</v>
      </c>
      <c r="E3" s="42" t="s">
        <v>7</v>
      </c>
      <c r="F3" s="42" t="s">
        <v>282</v>
      </c>
      <c r="G3" s="220" t="s">
        <v>500</v>
      </c>
      <c r="H3" s="42" t="s">
        <v>291</v>
      </c>
      <c r="I3" s="52" t="s">
        <v>156</v>
      </c>
    </row>
    <row r="4" spans="1:9" ht="15" customHeight="1">
      <c r="B4" s="29" t="s">
        <v>129</v>
      </c>
      <c r="C4" s="30" t="s">
        <v>127</v>
      </c>
      <c r="D4" s="29"/>
      <c r="E4" s="29" t="s">
        <v>128</v>
      </c>
      <c r="F4" s="161"/>
      <c r="G4" s="29"/>
      <c r="H4" s="181"/>
      <c r="I4" s="284" t="s">
        <v>333</v>
      </c>
    </row>
    <row r="5" spans="1:9">
      <c r="B5" s="2" t="s">
        <v>129</v>
      </c>
      <c r="C5" s="3" t="s">
        <v>194</v>
      </c>
      <c r="D5" s="2"/>
      <c r="E5" s="2" t="s">
        <v>130</v>
      </c>
      <c r="F5" s="162"/>
      <c r="G5" s="2"/>
      <c r="H5" s="182"/>
      <c r="I5" s="238"/>
    </row>
    <row r="6" spans="1:9">
      <c r="B6" s="2" t="s">
        <v>129</v>
      </c>
      <c r="C6" s="3" t="s">
        <v>195</v>
      </c>
      <c r="D6" s="2"/>
      <c r="E6" s="2" t="s">
        <v>131</v>
      </c>
      <c r="F6" s="162"/>
      <c r="G6" s="2"/>
      <c r="H6" s="182"/>
      <c r="I6" s="238"/>
    </row>
    <row r="7" spans="1:9">
      <c r="B7" s="2" t="s">
        <v>129</v>
      </c>
      <c r="C7" s="3" t="s">
        <v>196</v>
      </c>
      <c r="D7" s="2"/>
      <c r="E7" s="2" t="s">
        <v>131</v>
      </c>
      <c r="F7" s="162"/>
      <c r="G7" s="2"/>
      <c r="H7" s="182"/>
      <c r="I7" s="238"/>
    </row>
    <row r="8" spans="1:9" ht="15.75" thickBot="1">
      <c r="B8" s="2" t="s">
        <v>129</v>
      </c>
      <c r="C8" s="53" t="s">
        <v>197</v>
      </c>
      <c r="D8" s="51"/>
      <c r="E8" s="51" t="s">
        <v>198</v>
      </c>
      <c r="F8" s="163"/>
      <c r="G8" s="51"/>
      <c r="H8" s="183"/>
      <c r="I8" s="239"/>
    </row>
    <row r="9" spans="1:9" ht="15.75" thickBot="1">
      <c r="A9" s="298"/>
      <c r="B9" s="87" t="s">
        <v>9</v>
      </c>
      <c r="C9" s="34" t="s">
        <v>77</v>
      </c>
      <c r="D9" s="33"/>
      <c r="E9" s="33" t="s">
        <v>113</v>
      </c>
      <c r="F9" s="164">
        <v>1</v>
      </c>
      <c r="G9" s="184">
        <v>1</v>
      </c>
      <c r="H9" s="184">
        <f>'Hidden Calculation'!E14</f>
        <v>1</v>
      </c>
      <c r="I9" s="33" t="s">
        <v>155</v>
      </c>
    </row>
    <row r="10" spans="1:9">
      <c r="A10" s="299"/>
      <c r="B10" s="88" t="s">
        <v>10</v>
      </c>
      <c r="C10" s="30" t="s">
        <v>78</v>
      </c>
      <c r="D10" s="29"/>
      <c r="E10" s="29" t="s">
        <v>113</v>
      </c>
      <c r="F10" s="161">
        <v>1</v>
      </c>
      <c r="G10" s="181">
        <v>1</v>
      </c>
      <c r="H10" s="181">
        <f>'Hidden Calculation'!E15</f>
        <v>1</v>
      </c>
      <c r="I10" s="29" t="s">
        <v>181</v>
      </c>
    </row>
    <row r="11" spans="1:9" ht="30">
      <c r="A11" s="299"/>
      <c r="B11" s="89" t="s">
        <v>11</v>
      </c>
      <c r="C11" s="12" t="s">
        <v>88</v>
      </c>
      <c r="D11" s="8"/>
      <c r="E11" s="85" t="s">
        <v>296</v>
      </c>
      <c r="F11" s="147">
        <v>0</v>
      </c>
      <c r="G11" s="50">
        <v>0</v>
      </c>
      <c r="H11" s="50">
        <f>'Hidden Calculation'!E16</f>
        <v>0</v>
      </c>
      <c r="I11" s="8" t="s">
        <v>180</v>
      </c>
    </row>
    <row r="12" spans="1:9" ht="27.75" customHeight="1">
      <c r="A12" s="299"/>
      <c r="B12" s="4" t="s">
        <v>12</v>
      </c>
      <c r="C12" s="4" t="s">
        <v>252</v>
      </c>
      <c r="D12" s="4"/>
      <c r="E12" s="4" t="s">
        <v>293</v>
      </c>
      <c r="F12" s="4">
        <v>0.8</v>
      </c>
      <c r="G12" s="4">
        <v>0.8</v>
      </c>
      <c r="H12" s="4">
        <f>'Hidden Calculation'!E17</f>
        <v>0.8</v>
      </c>
      <c r="I12" s="4" t="s">
        <v>295</v>
      </c>
    </row>
    <row r="13" spans="1:9" ht="15" customHeight="1">
      <c r="A13" s="299"/>
      <c r="B13" s="90" t="s">
        <v>13</v>
      </c>
      <c r="C13" s="10" t="s">
        <v>169</v>
      </c>
      <c r="D13" s="7"/>
      <c r="E13" s="7" t="s">
        <v>112</v>
      </c>
      <c r="F13" s="148">
        <v>1</v>
      </c>
      <c r="G13" s="11">
        <v>1</v>
      </c>
      <c r="H13" s="11">
        <f>'Hidden Calculation'!E18</f>
        <v>1</v>
      </c>
      <c r="I13" s="315" t="s">
        <v>200</v>
      </c>
    </row>
    <row r="14" spans="1:9" ht="15" customHeight="1">
      <c r="A14" s="299"/>
      <c r="B14" s="304" t="s">
        <v>14</v>
      </c>
      <c r="C14" s="289" t="s">
        <v>168</v>
      </c>
      <c r="D14" s="288"/>
      <c r="E14" s="7" t="s">
        <v>110</v>
      </c>
      <c r="F14" s="305">
        <v>1</v>
      </c>
      <c r="G14" s="293">
        <v>1</v>
      </c>
      <c r="H14" s="290">
        <f>'Hidden Calculation'!E19</f>
        <v>1</v>
      </c>
      <c r="I14" s="286"/>
    </row>
    <row r="15" spans="1:9">
      <c r="A15" s="299"/>
      <c r="B15" s="304"/>
      <c r="C15" s="289"/>
      <c r="D15" s="288"/>
      <c r="E15" s="9" t="s">
        <v>111</v>
      </c>
      <c r="F15" s="305"/>
      <c r="G15" s="306">
        <v>0</v>
      </c>
      <c r="H15" s="290">
        <f>'Hidden Calculation'!E16</f>
        <v>0</v>
      </c>
      <c r="I15" s="287"/>
    </row>
    <row r="16" spans="1:9" ht="15" customHeight="1">
      <c r="A16" s="299"/>
      <c r="B16" s="301" t="s">
        <v>15</v>
      </c>
      <c r="C16" s="292" t="s">
        <v>82</v>
      </c>
      <c r="D16" s="291" t="s">
        <v>86</v>
      </c>
      <c r="E16" s="7" t="s">
        <v>87</v>
      </c>
      <c r="F16" s="302">
        <v>1</v>
      </c>
      <c r="G16" s="295">
        <v>1</v>
      </c>
      <c r="H16" s="295">
        <f>'Hidden Calculation'!E20</f>
        <v>1</v>
      </c>
      <c r="I16" s="280" t="s">
        <v>206</v>
      </c>
    </row>
    <row r="17" spans="1:9">
      <c r="A17" s="299"/>
      <c r="B17" s="301"/>
      <c r="C17" s="292"/>
      <c r="D17" s="291"/>
      <c r="E17" s="8" t="s">
        <v>1</v>
      </c>
      <c r="F17" s="303"/>
      <c r="G17" s="296">
        <v>1</v>
      </c>
      <c r="H17" s="296">
        <f>'Hidden Calculation'!E18</f>
        <v>1</v>
      </c>
      <c r="I17" s="281"/>
    </row>
    <row r="18" spans="1:9">
      <c r="A18" s="299"/>
      <c r="B18" s="301"/>
      <c r="C18" s="292"/>
      <c r="D18" s="291"/>
      <c r="E18" s="4" t="s">
        <v>2</v>
      </c>
      <c r="F18" s="303"/>
      <c r="G18" s="296">
        <v>1</v>
      </c>
      <c r="H18" s="296">
        <f>'Hidden Calculation'!E19</f>
        <v>1</v>
      </c>
      <c r="I18" s="281"/>
    </row>
    <row r="19" spans="1:9">
      <c r="A19" s="299"/>
      <c r="B19" s="301"/>
      <c r="C19" s="292"/>
      <c r="D19" s="291"/>
      <c r="E19" s="54" t="s">
        <v>3</v>
      </c>
      <c r="F19" s="303"/>
      <c r="G19" s="297">
        <v>1</v>
      </c>
      <c r="H19" s="296">
        <f>'Hidden Calculation'!E20</f>
        <v>1</v>
      </c>
      <c r="I19" s="281"/>
    </row>
    <row r="20" spans="1:9" ht="30">
      <c r="A20" s="299"/>
      <c r="B20" s="127" t="s">
        <v>16</v>
      </c>
      <c r="C20" s="128" t="s">
        <v>318</v>
      </c>
      <c r="D20" s="129" t="s">
        <v>320</v>
      </c>
      <c r="E20" s="130" t="s">
        <v>322</v>
      </c>
      <c r="F20" s="149">
        <v>0</v>
      </c>
      <c r="G20" s="185">
        <v>0</v>
      </c>
      <c r="H20" s="185">
        <f>'Hidden Calculation'!E21</f>
        <v>0</v>
      </c>
      <c r="I20" s="130" t="s">
        <v>324</v>
      </c>
    </row>
    <row r="21" spans="1:9" ht="15.75" thickBot="1">
      <c r="A21" s="300"/>
      <c r="B21" s="127" t="s">
        <v>17</v>
      </c>
      <c r="C21" s="128" t="s">
        <v>319</v>
      </c>
      <c r="D21" s="129" t="s">
        <v>321</v>
      </c>
      <c r="E21" s="129" t="s">
        <v>323</v>
      </c>
      <c r="F21" s="149">
        <v>0.3</v>
      </c>
      <c r="G21" s="185">
        <v>0.3</v>
      </c>
      <c r="H21" s="185">
        <f>'Hidden Calculation'!E22</f>
        <v>0.3</v>
      </c>
      <c r="I21" s="130"/>
    </row>
    <row r="22" spans="1:9" ht="15" customHeight="1">
      <c r="A22" s="298"/>
      <c r="B22" s="91" t="s">
        <v>18</v>
      </c>
      <c r="C22" s="6" t="s">
        <v>83</v>
      </c>
      <c r="D22" s="5"/>
      <c r="E22" s="5" t="s">
        <v>118</v>
      </c>
      <c r="F22" s="165">
        <v>1</v>
      </c>
      <c r="G22" s="186">
        <v>1</v>
      </c>
      <c r="H22" s="186">
        <f>'Hidden Calculation'!E23</f>
        <v>1</v>
      </c>
      <c r="I22" s="269" t="s">
        <v>201</v>
      </c>
    </row>
    <row r="23" spans="1:9">
      <c r="A23" s="299"/>
      <c r="B23" s="91" t="s">
        <v>19</v>
      </c>
      <c r="C23" s="6" t="s">
        <v>167</v>
      </c>
      <c r="D23" s="5"/>
      <c r="E23" s="5" t="s">
        <v>119</v>
      </c>
      <c r="F23" s="165">
        <v>0</v>
      </c>
      <c r="G23" s="186">
        <v>0</v>
      </c>
      <c r="H23" s="186">
        <f>'Hidden Calculation'!E24</f>
        <v>0</v>
      </c>
      <c r="I23" s="270"/>
    </row>
    <row r="24" spans="1:9" ht="15" customHeight="1">
      <c r="A24" s="299"/>
      <c r="B24" s="91" t="s">
        <v>20</v>
      </c>
      <c r="C24" s="81" t="s">
        <v>84</v>
      </c>
      <c r="D24" s="82"/>
      <c r="E24" s="54" t="s">
        <v>120</v>
      </c>
      <c r="F24" s="166">
        <v>5</v>
      </c>
      <c r="G24" s="215">
        <v>5</v>
      </c>
      <c r="H24" s="186">
        <f>'Hidden Calculation'!E25</f>
        <v>5</v>
      </c>
      <c r="I24" s="270"/>
    </row>
    <row r="25" spans="1:9">
      <c r="A25" s="299"/>
      <c r="B25" s="91" t="s">
        <v>21</v>
      </c>
      <c r="C25" s="6" t="s">
        <v>85</v>
      </c>
      <c r="D25" s="5"/>
      <c r="E25" s="5" t="s">
        <v>121</v>
      </c>
      <c r="F25" s="165">
        <v>0.5</v>
      </c>
      <c r="G25" s="186">
        <v>0.5</v>
      </c>
      <c r="H25" s="186">
        <f>'Hidden Calculation'!E26</f>
        <v>0.5</v>
      </c>
      <c r="I25" s="270"/>
    </row>
    <row r="26" spans="1:9" ht="15.75" thickBot="1">
      <c r="A26" s="300"/>
      <c r="B26" s="91" t="s">
        <v>22</v>
      </c>
      <c r="C26" s="6" t="s">
        <v>81</v>
      </c>
      <c r="D26" s="5"/>
      <c r="E26" s="5" t="s">
        <v>117</v>
      </c>
      <c r="F26" s="165">
        <v>2</v>
      </c>
      <c r="G26" s="186">
        <v>2</v>
      </c>
      <c r="H26" s="186">
        <f>'Hidden Calculation'!E27</f>
        <v>2</v>
      </c>
      <c r="I26" s="271"/>
    </row>
    <row r="27" spans="1:9">
      <c r="A27" s="298"/>
      <c r="B27" s="323" t="s">
        <v>23</v>
      </c>
      <c r="C27" s="267" t="s">
        <v>160</v>
      </c>
      <c r="D27" s="263"/>
      <c r="E27" s="4" t="s">
        <v>110</v>
      </c>
      <c r="F27" s="325">
        <v>0</v>
      </c>
      <c r="G27" s="265">
        <v>0</v>
      </c>
      <c r="H27" s="265">
        <f>'Hidden Calculation'!E28</f>
        <v>0</v>
      </c>
      <c r="I27" s="260" t="s">
        <v>207</v>
      </c>
    </row>
    <row r="28" spans="1:9">
      <c r="A28" s="299"/>
      <c r="B28" s="324"/>
      <c r="C28" s="268"/>
      <c r="D28" s="264"/>
      <c r="E28" s="4" t="s">
        <v>111</v>
      </c>
      <c r="F28" s="326"/>
      <c r="G28" s="266"/>
      <c r="H28" s="266">
        <f>'Hidden Calculation'!E26</f>
        <v>0.5</v>
      </c>
      <c r="I28" s="261"/>
    </row>
    <row r="29" spans="1:9">
      <c r="A29" s="299"/>
      <c r="B29" s="92" t="s">
        <v>24</v>
      </c>
      <c r="C29" s="4" t="s">
        <v>161</v>
      </c>
      <c r="D29" s="4"/>
      <c r="E29" s="4" t="s">
        <v>112</v>
      </c>
      <c r="F29" s="167">
        <v>0.9</v>
      </c>
      <c r="G29" s="187">
        <v>0.9</v>
      </c>
      <c r="H29" s="187">
        <f>'Hidden Calculation'!E29</f>
        <v>0.9</v>
      </c>
      <c r="I29" s="261"/>
    </row>
    <row r="30" spans="1:9">
      <c r="A30" s="299"/>
      <c r="B30" s="92" t="s">
        <v>25</v>
      </c>
      <c r="C30" s="4" t="s">
        <v>162</v>
      </c>
      <c r="D30" s="4"/>
      <c r="E30" s="4" t="s">
        <v>114</v>
      </c>
      <c r="F30" s="167">
        <v>0.5</v>
      </c>
      <c r="G30" s="187">
        <v>0.5</v>
      </c>
      <c r="H30" s="187">
        <f>'Hidden Calculation'!E30</f>
        <v>0.5</v>
      </c>
      <c r="I30" s="261"/>
    </row>
    <row r="31" spans="1:9">
      <c r="A31" s="299"/>
      <c r="B31" s="327" t="s">
        <v>26</v>
      </c>
      <c r="C31" s="260" t="s">
        <v>163</v>
      </c>
      <c r="D31" s="263"/>
      <c r="E31" s="4" t="s">
        <v>110</v>
      </c>
      <c r="F31" s="325">
        <v>1</v>
      </c>
      <c r="G31" s="265">
        <v>1</v>
      </c>
      <c r="H31" s="265">
        <f>'Hidden Calculation'!E31</f>
        <v>1</v>
      </c>
      <c r="I31" s="261"/>
    </row>
    <row r="32" spans="1:9">
      <c r="A32" s="299"/>
      <c r="B32" s="328"/>
      <c r="C32" s="262"/>
      <c r="D32" s="264"/>
      <c r="E32" s="4" t="s">
        <v>111</v>
      </c>
      <c r="F32" s="326"/>
      <c r="G32" s="266"/>
      <c r="H32" s="266">
        <f>'Hidden Calculation'!E29</f>
        <v>0.9</v>
      </c>
      <c r="I32" s="261"/>
    </row>
    <row r="33" spans="1:9">
      <c r="A33" s="299"/>
      <c r="B33" s="92" t="s">
        <v>27</v>
      </c>
      <c r="C33" s="4" t="s">
        <v>164</v>
      </c>
      <c r="D33" s="4"/>
      <c r="E33" s="4" t="s">
        <v>112</v>
      </c>
      <c r="F33" s="167">
        <v>0.9</v>
      </c>
      <c r="G33" s="187">
        <v>0.9</v>
      </c>
      <c r="H33" s="187">
        <f>'Hidden Calculation'!E32</f>
        <v>0.9</v>
      </c>
      <c r="I33" s="261"/>
    </row>
    <row r="34" spans="1:9" ht="15.75" thickBot="1">
      <c r="A34" s="300"/>
      <c r="B34" s="92" t="s">
        <v>28</v>
      </c>
      <c r="C34" s="4" t="s">
        <v>165</v>
      </c>
      <c r="D34" s="4"/>
      <c r="E34" s="4" t="s">
        <v>114</v>
      </c>
      <c r="F34" s="167">
        <v>0.9</v>
      </c>
      <c r="G34" s="187">
        <v>0.9</v>
      </c>
      <c r="H34" s="187">
        <f>'Hidden Calculation'!E33</f>
        <v>0.9</v>
      </c>
      <c r="I34" s="262"/>
    </row>
    <row r="35" spans="1:9" ht="15" customHeight="1">
      <c r="A35" s="298"/>
      <c r="B35" s="307" t="s">
        <v>29</v>
      </c>
      <c r="C35" s="258" t="s">
        <v>132</v>
      </c>
      <c r="D35" s="257"/>
      <c r="E35" s="27" t="s">
        <v>115</v>
      </c>
      <c r="F35" s="308">
        <v>1</v>
      </c>
      <c r="G35" s="313">
        <v>1</v>
      </c>
      <c r="H35" s="322">
        <f>'Hidden Calculation'!E34</f>
        <v>1</v>
      </c>
      <c r="I35" s="248" t="s">
        <v>297</v>
      </c>
    </row>
    <row r="36" spans="1:9">
      <c r="A36" s="299"/>
      <c r="B36" s="307"/>
      <c r="C36" s="258"/>
      <c r="D36" s="257"/>
      <c r="E36" s="49" t="s">
        <v>0</v>
      </c>
      <c r="F36" s="308"/>
      <c r="G36" s="314"/>
      <c r="H36" s="322">
        <f>'Hidden Calculation'!E32</f>
        <v>0.9</v>
      </c>
      <c r="I36" s="250"/>
    </row>
    <row r="37" spans="1:9">
      <c r="A37" s="299"/>
      <c r="B37" s="93" t="s">
        <v>30</v>
      </c>
      <c r="C37" s="28" t="s">
        <v>79</v>
      </c>
      <c r="D37" s="27"/>
      <c r="E37" s="27" t="s">
        <v>116</v>
      </c>
      <c r="F37" s="168">
        <v>0.5</v>
      </c>
      <c r="G37" s="199">
        <v>0.5</v>
      </c>
      <c r="H37" s="188">
        <f>'Hidden Calculation'!E35</f>
        <v>0.5</v>
      </c>
      <c r="I37" s="106" t="s">
        <v>298</v>
      </c>
    </row>
    <row r="38" spans="1:9">
      <c r="A38" s="299"/>
      <c r="B38" s="93" t="s">
        <v>31</v>
      </c>
      <c r="C38" s="28" t="s">
        <v>80</v>
      </c>
      <c r="D38" s="27"/>
      <c r="E38" s="27" t="s">
        <v>116</v>
      </c>
      <c r="F38" s="168">
        <v>0.05</v>
      </c>
      <c r="G38" s="199">
        <v>0.05</v>
      </c>
      <c r="H38" s="188">
        <f>'Hidden Calculation'!E36</f>
        <v>0.05</v>
      </c>
      <c r="I38" s="106" t="s">
        <v>299</v>
      </c>
    </row>
    <row r="39" spans="1:9" ht="15.75" thickBot="1">
      <c r="A39" s="300"/>
      <c r="B39" s="93" t="s">
        <v>32</v>
      </c>
      <c r="C39" s="28" t="s">
        <v>166</v>
      </c>
      <c r="D39" s="27"/>
      <c r="E39" s="27" t="s">
        <v>114</v>
      </c>
      <c r="F39" s="168">
        <v>0.2</v>
      </c>
      <c r="G39" s="199">
        <v>0.2</v>
      </c>
      <c r="H39" s="188">
        <f>'Hidden Calculation'!E37</f>
        <v>0.2</v>
      </c>
      <c r="I39" s="106" t="s">
        <v>300</v>
      </c>
    </row>
    <row r="40" spans="1:9">
      <c r="A40" s="298"/>
      <c r="B40" s="86" t="s">
        <v>33</v>
      </c>
      <c r="C40" s="3" t="s">
        <v>99</v>
      </c>
      <c r="D40" s="2"/>
      <c r="E40" s="2" t="s">
        <v>114</v>
      </c>
      <c r="F40" s="162">
        <v>1</v>
      </c>
      <c r="G40" s="182">
        <v>1</v>
      </c>
      <c r="H40" s="182">
        <f>'Hidden Calculation'!E38</f>
        <v>1</v>
      </c>
      <c r="I40" s="237" t="s">
        <v>355</v>
      </c>
    </row>
    <row r="41" spans="1:9">
      <c r="A41" s="299"/>
      <c r="B41" s="86" t="s">
        <v>34</v>
      </c>
      <c r="C41" s="3" t="s">
        <v>100</v>
      </c>
      <c r="D41" s="2"/>
      <c r="E41" s="2" t="s">
        <v>213</v>
      </c>
      <c r="F41" s="162">
        <v>2</v>
      </c>
      <c r="G41" s="182">
        <v>2</v>
      </c>
      <c r="H41" s="182">
        <f>'Hidden Calculation'!E39</f>
        <v>2</v>
      </c>
      <c r="I41" s="239"/>
    </row>
    <row r="42" spans="1:9">
      <c r="A42" s="299"/>
      <c r="B42" s="309" t="s">
        <v>35</v>
      </c>
      <c r="C42" s="252" t="s">
        <v>89</v>
      </c>
      <c r="D42" s="251" t="s">
        <v>107</v>
      </c>
      <c r="E42" s="14" t="s">
        <v>171</v>
      </c>
      <c r="F42" s="310">
        <v>2</v>
      </c>
      <c r="G42" s="253">
        <v>2</v>
      </c>
      <c r="H42" s="253">
        <f>'Hidden Calculation'!E40</f>
        <v>2</v>
      </c>
      <c r="I42" s="241" t="s">
        <v>301</v>
      </c>
    </row>
    <row r="43" spans="1:9">
      <c r="A43" s="299"/>
      <c r="B43" s="309"/>
      <c r="C43" s="252"/>
      <c r="D43" s="251"/>
      <c r="E43" s="15" t="s">
        <v>109</v>
      </c>
      <c r="F43" s="311"/>
      <c r="G43" s="254">
        <v>0.2</v>
      </c>
      <c r="H43" s="254">
        <f>'Hidden Calculation'!E37</f>
        <v>0.2</v>
      </c>
      <c r="I43" s="256"/>
    </row>
    <row r="44" spans="1:9">
      <c r="A44" s="299"/>
      <c r="B44" s="309"/>
      <c r="C44" s="252"/>
      <c r="D44" s="251"/>
      <c r="E44" s="16" t="s">
        <v>108</v>
      </c>
      <c r="F44" s="312"/>
      <c r="G44" s="255">
        <v>0.35</v>
      </c>
      <c r="H44" s="255">
        <f>'Hidden Calculation'!E38</f>
        <v>1</v>
      </c>
      <c r="I44" s="242"/>
    </row>
    <row r="45" spans="1:9">
      <c r="A45" s="299"/>
      <c r="B45" s="94" t="s">
        <v>36</v>
      </c>
      <c r="C45" s="17" t="s">
        <v>90</v>
      </c>
      <c r="D45" s="15"/>
      <c r="E45" s="15" t="s">
        <v>122</v>
      </c>
      <c r="F45" s="169">
        <v>2</v>
      </c>
      <c r="G45" s="189">
        <v>2</v>
      </c>
      <c r="H45" s="189">
        <f>'Hidden Calculation'!E41</f>
        <v>2</v>
      </c>
      <c r="I45" s="15" t="s">
        <v>157</v>
      </c>
    </row>
    <row r="46" spans="1:9" ht="15" customHeight="1">
      <c r="A46" s="299"/>
      <c r="B46" s="95" t="s">
        <v>37</v>
      </c>
      <c r="C46" s="16" t="s">
        <v>101</v>
      </c>
      <c r="D46" s="16"/>
      <c r="E46" s="16" t="s">
        <v>122</v>
      </c>
      <c r="F46" s="170">
        <v>2.5</v>
      </c>
      <c r="G46" s="190">
        <v>2.5</v>
      </c>
      <c r="H46" s="190">
        <f>'Hidden Calculation'!E42</f>
        <v>2.5</v>
      </c>
      <c r="I46" s="241" t="s">
        <v>302</v>
      </c>
    </row>
    <row r="47" spans="1:9">
      <c r="A47" s="299"/>
      <c r="B47" s="95" t="s">
        <v>38</v>
      </c>
      <c r="C47" s="16" t="s">
        <v>172</v>
      </c>
      <c r="D47" s="16"/>
      <c r="E47" s="16" t="s">
        <v>122</v>
      </c>
      <c r="F47" s="170">
        <v>2.5</v>
      </c>
      <c r="G47" s="190">
        <v>2.5</v>
      </c>
      <c r="H47" s="190">
        <f>'Hidden Calculation'!E43</f>
        <v>2.5</v>
      </c>
      <c r="I47" s="242"/>
    </row>
    <row r="48" spans="1:9" ht="15" customHeight="1">
      <c r="A48" s="299"/>
      <c r="B48" s="96" t="s">
        <v>39</v>
      </c>
      <c r="C48" s="36" t="s">
        <v>102</v>
      </c>
      <c r="D48" s="35"/>
      <c r="E48" s="35" t="s">
        <v>114</v>
      </c>
      <c r="F48" s="171">
        <v>0.25</v>
      </c>
      <c r="G48" s="191">
        <v>0.25</v>
      </c>
      <c r="H48" s="191">
        <f>'Hidden Calculation'!E44</f>
        <v>0.25</v>
      </c>
      <c r="I48" s="107" t="s">
        <v>303</v>
      </c>
    </row>
    <row r="49" spans="1:9" ht="45">
      <c r="A49" s="299"/>
      <c r="B49" s="96" t="s">
        <v>40</v>
      </c>
      <c r="C49" s="36" t="s">
        <v>286</v>
      </c>
      <c r="D49" s="35"/>
      <c r="E49" s="35" t="s">
        <v>114</v>
      </c>
      <c r="F49" s="171">
        <v>0.25</v>
      </c>
      <c r="G49" s="191">
        <v>0.25</v>
      </c>
      <c r="H49" s="191">
        <f>'Hidden Calculation'!E45</f>
        <v>0.25</v>
      </c>
      <c r="I49" s="107" t="s">
        <v>361</v>
      </c>
    </row>
    <row r="50" spans="1:9">
      <c r="A50" s="299"/>
      <c r="B50" s="96" t="s">
        <v>41</v>
      </c>
      <c r="C50" s="36" t="s">
        <v>103</v>
      </c>
      <c r="D50" s="35"/>
      <c r="E50" s="35" t="s">
        <v>114</v>
      </c>
      <c r="F50" s="171">
        <v>0.25</v>
      </c>
      <c r="G50" s="191">
        <v>0.25</v>
      </c>
      <c r="H50" s="191">
        <f>'Hidden Calculation'!E46</f>
        <v>0.25</v>
      </c>
      <c r="I50" s="107" t="s">
        <v>304</v>
      </c>
    </row>
    <row r="51" spans="1:9" ht="45">
      <c r="A51" s="299"/>
      <c r="B51" s="96" t="s">
        <v>42</v>
      </c>
      <c r="C51" s="36" t="s">
        <v>287</v>
      </c>
      <c r="D51" s="35"/>
      <c r="E51" s="35" t="s">
        <v>114</v>
      </c>
      <c r="F51" s="171">
        <v>0.25</v>
      </c>
      <c r="G51" s="191">
        <v>0.25</v>
      </c>
      <c r="H51" s="191">
        <f>'Hidden Calculation'!E47</f>
        <v>0.25</v>
      </c>
      <c r="I51" s="107" t="s">
        <v>361</v>
      </c>
    </row>
    <row r="52" spans="1:9">
      <c r="A52" s="299"/>
      <c r="B52" s="97" t="s">
        <v>43</v>
      </c>
      <c r="C52" s="21" t="s">
        <v>97</v>
      </c>
      <c r="D52" s="20"/>
      <c r="E52" s="20" t="s">
        <v>114</v>
      </c>
      <c r="F52" s="172">
        <v>0.03</v>
      </c>
      <c r="G52" s="192">
        <v>0.03</v>
      </c>
      <c r="H52" s="192">
        <f>'Hidden Calculation'!E48</f>
        <v>0.03</v>
      </c>
      <c r="I52" s="20" t="s">
        <v>305</v>
      </c>
    </row>
    <row r="53" spans="1:9" ht="15.75" thickBot="1">
      <c r="A53" s="300"/>
      <c r="B53" s="98" t="s">
        <v>44</v>
      </c>
      <c r="C53" s="22" t="s">
        <v>98</v>
      </c>
      <c r="D53" s="14"/>
      <c r="E53" s="14" t="s">
        <v>114</v>
      </c>
      <c r="F53" s="173">
        <v>0.03</v>
      </c>
      <c r="G53" s="193">
        <v>0.03</v>
      </c>
      <c r="H53" s="193">
        <f>'Hidden Calculation'!E49</f>
        <v>0.03</v>
      </c>
      <c r="I53" s="14" t="s">
        <v>306</v>
      </c>
    </row>
    <row r="54" spans="1:9">
      <c r="A54" s="298"/>
      <c r="B54" s="99" t="s">
        <v>45</v>
      </c>
      <c r="C54" s="26" t="s">
        <v>106</v>
      </c>
      <c r="D54" s="25"/>
      <c r="E54" s="25" t="s">
        <v>126</v>
      </c>
      <c r="F54" s="174">
        <v>0.01</v>
      </c>
      <c r="G54" s="194">
        <v>0.01</v>
      </c>
      <c r="H54" s="194">
        <f>'Hidden Calculation'!E50</f>
        <v>0.01</v>
      </c>
      <c r="I54" s="25" t="s">
        <v>184</v>
      </c>
    </row>
    <row r="55" spans="1:9" ht="15" customHeight="1">
      <c r="A55" s="299"/>
      <c r="B55" s="329" t="s">
        <v>46</v>
      </c>
      <c r="C55" s="235" t="s">
        <v>203</v>
      </c>
      <c r="D55" s="237" t="s">
        <v>211</v>
      </c>
      <c r="E55" s="2" t="s">
        <v>115</v>
      </c>
      <c r="F55" s="331">
        <v>0</v>
      </c>
      <c r="G55" s="246">
        <v>0</v>
      </c>
      <c r="H55" s="246">
        <f>'Hidden Calculation'!E51</f>
        <v>0</v>
      </c>
      <c r="I55" s="237" t="s">
        <v>356</v>
      </c>
    </row>
    <row r="56" spans="1:9">
      <c r="A56" s="299"/>
      <c r="B56" s="330"/>
      <c r="C56" s="245"/>
      <c r="D56" s="239"/>
      <c r="E56" s="2" t="s">
        <v>0</v>
      </c>
      <c r="F56" s="332"/>
      <c r="G56" s="247">
        <v>0.2</v>
      </c>
      <c r="H56" s="247">
        <f>'Hidden Calculation'!E52</f>
        <v>20</v>
      </c>
      <c r="I56" s="239"/>
    </row>
    <row r="57" spans="1:9">
      <c r="A57" s="299"/>
      <c r="B57" s="86" t="s">
        <v>47</v>
      </c>
      <c r="C57" s="2" t="s">
        <v>204</v>
      </c>
      <c r="D57" s="2"/>
      <c r="E57" s="2" t="s">
        <v>209</v>
      </c>
      <c r="F57" s="162">
        <v>20</v>
      </c>
      <c r="G57" s="182">
        <v>20</v>
      </c>
      <c r="H57" s="182">
        <f>'Hidden Calculation'!E52</f>
        <v>20</v>
      </c>
      <c r="I57" s="2" t="s">
        <v>210</v>
      </c>
    </row>
    <row r="58" spans="1:9">
      <c r="A58" s="299"/>
      <c r="B58" s="86" t="s">
        <v>48</v>
      </c>
      <c r="C58" s="2" t="s">
        <v>185</v>
      </c>
      <c r="D58" s="2"/>
      <c r="E58" s="2" t="s">
        <v>125</v>
      </c>
      <c r="F58" s="162">
        <v>0</v>
      </c>
      <c r="G58" s="182">
        <v>0</v>
      </c>
      <c r="H58" s="182">
        <f>'Hidden Calculation'!E53</f>
        <v>0</v>
      </c>
      <c r="I58" s="2" t="s">
        <v>307</v>
      </c>
    </row>
    <row r="59" spans="1:9" ht="60">
      <c r="A59" s="299"/>
      <c r="B59" s="100" t="s">
        <v>49</v>
      </c>
      <c r="C59" s="56" t="s">
        <v>174</v>
      </c>
      <c r="D59" s="45" t="s">
        <v>176</v>
      </c>
      <c r="E59" s="57" t="s">
        <v>177</v>
      </c>
      <c r="F59" s="175">
        <v>0</v>
      </c>
      <c r="G59" s="109">
        <v>0</v>
      </c>
      <c r="H59" s="109">
        <f>'Hidden Calculation'!E54</f>
        <v>0</v>
      </c>
      <c r="I59" s="108" t="s">
        <v>308</v>
      </c>
    </row>
    <row r="60" spans="1:9" ht="45">
      <c r="A60" s="299"/>
      <c r="B60" s="100" t="s">
        <v>50</v>
      </c>
      <c r="C60" s="56" t="s">
        <v>173</v>
      </c>
      <c r="D60" s="45" t="s">
        <v>175</v>
      </c>
      <c r="E60" s="57" t="s">
        <v>177</v>
      </c>
      <c r="F60" s="175">
        <v>0</v>
      </c>
      <c r="G60" s="109">
        <v>0</v>
      </c>
      <c r="H60" s="109">
        <f>'Hidden Calculation'!E55</f>
        <v>0</v>
      </c>
      <c r="I60" s="108" t="s">
        <v>308</v>
      </c>
    </row>
    <row r="61" spans="1:9">
      <c r="A61" s="299"/>
      <c r="B61" s="101" t="s">
        <v>51</v>
      </c>
      <c r="C61" s="47" t="s">
        <v>104</v>
      </c>
      <c r="D61" s="48"/>
      <c r="E61" s="55" t="s">
        <v>123</v>
      </c>
      <c r="F61" s="150">
        <v>0</v>
      </c>
      <c r="G61" s="46">
        <v>0</v>
      </c>
      <c r="H61" s="46">
        <f>'Hidden Calculation'!E56</f>
        <v>0</v>
      </c>
      <c r="I61" s="2" t="s">
        <v>309</v>
      </c>
    </row>
    <row r="62" spans="1:9" ht="15" customHeight="1">
      <c r="A62" s="299"/>
      <c r="B62" s="101" t="s">
        <v>52</v>
      </c>
      <c r="C62" s="3" t="s">
        <v>178</v>
      </c>
      <c r="D62" s="2"/>
      <c r="E62" s="2" t="s">
        <v>125</v>
      </c>
      <c r="F62" s="162">
        <v>0.15</v>
      </c>
      <c r="G62" s="182">
        <v>0.15</v>
      </c>
      <c r="H62" s="182">
        <f>'Hidden Calculation'!E57</f>
        <v>0.15</v>
      </c>
      <c r="I62" s="235" t="s">
        <v>310</v>
      </c>
    </row>
    <row r="63" spans="1:9" ht="15.75" thickBot="1">
      <c r="A63" s="300"/>
      <c r="B63" s="101" t="s">
        <v>53</v>
      </c>
      <c r="C63" s="47" t="s">
        <v>105</v>
      </c>
      <c r="D63" s="48"/>
      <c r="E63" s="55" t="s">
        <v>125</v>
      </c>
      <c r="F63" s="150">
        <v>0.1</v>
      </c>
      <c r="G63" s="46">
        <v>0.1</v>
      </c>
      <c r="H63" s="46">
        <f>'Hidden Calculation'!E58</f>
        <v>0.1</v>
      </c>
      <c r="I63" s="236"/>
    </row>
    <row r="64" spans="1:9" ht="15" customHeight="1">
      <c r="A64" s="298"/>
      <c r="B64" s="102" t="s">
        <v>54</v>
      </c>
      <c r="C64" s="39" t="s">
        <v>143</v>
      </c>
      <c r="D64" s="38"/>
      <c r="E64" s="38" t="s">
        <v>341</v>
      </c>
      <c r="F64" s="176">
        <v>1.32</v>
      </c>
      <c r="G64" s="195">
        <v>1.32</v>
      </c>
      <c r="H64" s="195">
        <f>'Hidden Calculation'!E59</f>
        <v>1.32</v>
      </c>
      <c r="I64" s="319" t="s">
        <v>345</v>
      </c>
    </row>
    <row r="65" spans="1:9">
      <c r="A65" s="299"/>
      <c r="B65" s="102" t="s">
        <v>55</v>
      </c>
      <c r="C65" s="39" t="s">
        <v>144</v>
      </c>
      <c r="D65" s="38"/>
      <c r="E65" s="212">
        <v>0</v>
      </c>
      <c r="F65" s="176">
        <v>0</v>
      </c>
      <c r="G65" s="195">
        <v>0</v>
      </c>
      <c r="H65" s="195">
        <f>'Hidden Calculation'!E60</f>
        <v>0</v>
      </c>
      <c r="I65" s="320"/>
    </row>
    <row r="66" spans="1:9">
      <c r="A66" s="299"/>
      <c r="B66" s="102" t="s">
        <v>56</v>
      </c>
      <c r="C66" s="39" t="s">
        <v>145</v>
      </c>
      <c r="D66" s="38"/>
      <c r="E66" s="38" t="s">
        <v>342</v>
      </c>
      <c r="F66" s="176">
        <v>1.22</v>
      </c>
      <c r="G66" s="195">
        <v>1.22</v>
      </c>
      <c r="H66" s="195">
        <f>'Hidden Calculation'!E61</f>
        <v>1.22</v>
      </c>
      <c r="I66" s="320"/>
    </row>
    <row r="67" spans="1:9">
      <c r="A67" s="299"/>
      <c r="B67" s="102" t="s">
        <v>57</v>
      </c>
      <c r="C67" s="39" t="s">
        <v>146</v>
      </c>
      <c r="D67" s="38"/>
      <c r="E67" s="38" t="s">
        <v>114</v>
      </c>
      <c r="F67" s="176">
        <v>0.5</v>
      </c>
      <c r="G67" s="195">
        <v>0.5</v>
      </c>
      <c r="H67" s="195">
        <f>'Hidden Calculation'!E62</f>
        <v>0.5</v>
      </c>
      <c r="I67" s="320"/>
    </row>
    <row r="68" spans="1:9">
      <c r="A68" s="299"/>
      <c r="B68" s="102" t="s">
        <v>58</v>
      </c>
      <c r="C68" s="39" t="s">
        <v>147</v>
      </c>
      <c r="D68" s="38"/>
      <c r="E68" s="38" t="s">
        <v>343</v>
      </c>
      <c r="F68" s="176">
        <v>1.1200000000000001</v>
      </c>
      <c r="G68" s="195">
        <v>1.1200000000000001</v>
      </c>
      <c r="H68" s="195">
        <f>'Hidden Calculation'!E63</f>
        <v>1.1200000000000001</v>
      </c>
      <c r="I68" s="320"/>
    </row>
    <row r="69" spans="1:9">
      <c r="A69" s="299"/>
      <c r="B69" s="102" t="s">
        <v>59</v>
      </c>
      <c r="C69" s="39" t="s">
        <v>148</v>
      </c>
      <c r="D69" s="38"/>
      <c r="E69" s="38" t="s">
        <v>344</v>
      </c>
      <c r="F69" s="176">
        <v>1</v>
      </c>
      <c r="G69" s="195">
        <v>1</v>
      </c>
      <c r="H69" s="195">
        <f>'Hidden Calculation'!E64</f>
        <v>1</v>
      </c>
      <c r="I69" s="320"/>
    </row>
    <row r="70" spans="1:9">
      <c r="A70" s="299"/>
      <c r="B70" s="102" t="s">
        <v>60</v>
      </c>
      <c r="C70" s="24" t="s">
        <v>149</v>
      </c>
      <c r="D70" s="24"/>
      <c r="E70" s="24" t="s">
        <v>346</v>
      </c>
      <c r="F70" s="151">
        <v>0.88</v>
      </c>
      <c r="G70" s="196">
        <v>0.88</v>
      </c>
      <c r="H70" s="196">
        <f>'Hidden Calculation'!E65</f>
        <v>0.88</v>
      </c>
      <c r="I70" s="320"/>
    </row>
    <row r="71" spans="1:9">
      <c r="A71" s="299"/>
      <c r="B71" s="102" t="s">
        <v>61</v>
      </c>
      <c r="C71" s="24" t="s">
        <v>150</v>
      </c>
      <c r="D71" s="24"/>
      <c r="E71" s="24" t="s">
        <v>348</v>
      </c>
      <c r="F71" s="151">
        <v>10.5</v>
      </c>
      <c r="G71" s="196">
        <v>10.5</v>
      </c>
      <c r="H71" s="196">
        <f>'Hidden Calculation'!E66</f>
        <v>10.5</v>
      </c>
      <c r="I71" s="320"/>
    </row>
    <row r="72" spans="1:9">
      <c r="A72" s="299"/>
      <c r="B72" s="102" t="s">
        <v>62</v>
      </c>
      <c r="C72" s="24" t="s">
        <v>151</v>
      </c>
      <c r="D72" s="24"/>
      <c r="E72" s="24" t="s">
        <v>346</v>
      </c>
      <c r="F72" s="151">
        <v>0.78</v>
      </c>
      <c r="G72" s="196">
        <v>0.78</v>
      </c>
      <c r="H72" s="196">
        <f>'Hidden Calculation'!E67</f>
        <v>0.78</v>
      </c>
      <c r="I72" s="320"/>
    </row>
    <row r="73" spans="1:9">
      <c r="A73" s="299"/>
      <c r="B73" s="102" t="s">
        <v>63</v>
      </c>
      <c r="C73" s="24" t="s">
        <v>152</v>
      </c>
      <c r="D73" s="24"/>
      <c r="E73" s="24" t="s">
        <v>116</v>
      </c>
      <c r="F73" s="151">
        <v>2.1</v>
      </c>
      <c r="G73" s="196">
        <v>2.1</v>
      </c>
      <c r="H73" s="196">
        <f>'Hidden Calculation'!E68</f>
        <v>2.1</v>
      </c>
      <c r="I73" s="320"/>
    </row>
    <row r="74" spans="1:9">
      <c r="A74" s="299"/>
      <c r="B74" s="102" t="s">
        <v>64</v>
      </c>
      <c r="C74" s="24" t="s">
        <v>153</v>
      </c>
      <c r="D74" s="24"/>
      <c r="E74" s="24" t="s">
        <v>114</v>
      </c>
      <c r="F74" s="151">
        <v>0.68</v>
      </c>
      <c r="G74" s="196">
        <v>0.68</v>
      </c>
      <c r="H74" s="196">
        <f>'Hidden Calculation'!E69</f>
        <v>0.68</v>
      </c>
      <c r="I74" s="320"/>
    </row>
    <row r="75" spans="1:9" ht="15.75" thickBot="1">
      <c r="A75" s="300"/>
      <c r="B75" s="102" t="s">
        <v>65</v>
      </c>
      <c r="C75" s="24" t="s">
        <v>154</v>
      </c>
      <c r="D75" s="24"/>
      <c r="E75" s="24" t="s">
        <v>347</v>
      </c>
      <c r="F75" s="151">
        <v>0.5</v>
      </c>
      <c r="G75" s="196">
        <v>0.5</v>
      </c>
      <c r="H75" s="196">
        <f>'Hidden Calculation'!E70</f>
        <v>0.5</v>
      </c>
      <c r="I75" s="321"/>
    </row>
    <row r="76" spans="1:9">
      <c r="A76" s="298"/>
      <c r="B76" s="103" t="s">
        <v>66</v>
      </c>
      <c r="C76" s="31" t="s">
        <v>158</v>
      </c>
      <c r="D76" s="31"/>
      <c r="E76" s="31" t="s">
        <v>349</v>
      </c>
      <c r="F76" s="152">
        <v>52</v>
      </c>
      <c r="G76" s="197">
        <v>52</v>
      </c>
      <c r="H76" s="197">
        <f>'Hidden Calculation'!E71</f>
        <v>52</v>
      </c>
      <c r="I76" s="316" t="s">
        <v>311</v>
      </c>
    </row>
    <row r="77" spans="1:9">
      <c r="A77" s="299"/>
      <c r="B77" s="103" t="s">
        <v>67</v>
      </c>
      <c r="C77" s="31" t="s">
        <v>159</v>
      </c>
      <c r="D77" s="31"/>
      <c r="E77" s="31" t="s">
        <v>350</v>
      </c>
      <c r="F77" s="152">
        <v>0</v>
      </c>
      <c r="G77" s="197">
        <v>0</v>
      </c>
      <c r="H77" s="197">
        <f>'Hidden Calculation'!E72</f>
        <v>0</v>
      </c>
      <c r="I77" s="317"/>
    </row>
    <row r="78" spans="1:9">
      <c r="A78" s="299"/>
      <c r="B78" s="103" t="s">
        <v>68</v>
      </c>
      <c r="C78" s="31" t="s">
        <v>133</v>
      </c>
      <c r="D78" s="31"/>
      <c r="E78" s="31" t="s">
        <v>349</v>
      </c>
      <c r="F78" s="152">
        <v>51</v>
      </c>
      <c r="G78" s="197">
        <v>51</v>
      </c>
      <c r="H78" s="197">
        <f>'Hidden Calculation'!E73</f>
        <v>51</v>
      </c>
      <c r="I78" s="317"/>
    </row>
    <row r="79" spans="1:9">
      <c r="A79" s="299"/>
      <c r="B79" s="103" t="s">
        <v>69</v>
      </c>
      <c r="C79" s="31" t="s">
        <v>134</v>
      </c>
      <c r="D79" s="31"/>
      <c r="E79" s="31" t="s">
        <v>350</v>
      </c>
      <c r="F79" s="152">
        <v>120</v>
      </c>
      <c r="G79" s="197">
        <v>120</v>
      </c>
      <c r="H79" s="197">
        <f>'Hidden Calculation'!E74</f>
        <v>120</v>
      </c>
      <c r="I79" s="317"/>
    </row>
    <row r="80" spans="1:9">
      <c r="A80" s="299"/>
      <c r="B80" s="103" t="s">
        <v>70</v>
      </c>
      <c r="C80" s="31" t="s">
        <v>135</v>
      </c>
      <c r="D80" s="31"/>
      <c r="E80" s="31" t="s">
        <v>351</v>
      </c>
      <c r="F80" s="152">
        <v>50.5</v>
      </c>
      <c r="G80" s="197">
        <v>50.5</v>
      </c>
      <c r="H80" s="197">
        <f>'Hidden Calculation'!E75</f>
        <v>50.5</v>
      </c>
      <c r="I80" s="317"/>
    </row>
    <row r="81" spans="1:9">
      <c r="A81" s="299"/>
      <c r="B81" s="103" t="s">
        <v>71</v>
      </c>
      <c r="C81" s="31" t="s">
        <v>136</v>
      </c>
      <c r="D81" s="31"/>
      <c r="E81" s="31" t="s">
        <v>352</v>
      </c>
      <c r="F81" s="152">
        <v>600</v>
      </c>
      <c r="G81" s="197">
        <v>600</v>
      </c>
      <c r="H81" s="197">
        <f>'Hidden Calculation'!E76</f>
        <v>600</v>
      </c>
      <c r="I81" s="317"/>
    </row>
    <row r="82" spans="1:9">
      <c r="A82" s="299"/>
      <c r="B82" s="103" t="s">
        <v>72</v>
      </c>
      <c r="C82" s="31" t="s">
        <v>137</v>
      </c>
      <c r="D82" s="32"/>
      <c r="E82" s="32" t="s">
        <v>353</v>
      </c>
      <c r="F82" s="177">
        <v>49.5</v>
      </c>
      <c r="G82" s="197">
        <v>49.5</v>
      </c>
      <c r="H82" s="197">
        <f>'Hidden Calculation'!E77</f>
        <v>49.5</v>
      </c>
      <c r="I82" s="317"/>
    </row>
    <row r="83" spans="1:9">
      <c r="A83" s="299"/>
      <c r="B83" s="103" t="s">
        <v>73</v>
      </c>
      <c r="C83" s="31" t="s">
        <v>138</v>
      </c>
      <c r="D83" s="32"/>
      <c r="E83" s="31" t="s">
        <v>352</v>
      </c>
      <c r="F83" s="177">
        <v>600</v>
      </c>
      <c r="G83" s="197">
        <v>600</v>
      </c>
      <c r="H83" s="197">
        <f>'Hidden Calculation'!E78</f>
        <v>600</v>
      </c>
      <c r="I83" s="317"/>
    </row>
    <row r="84" spans="1:9">
      <c r="A84" s="299"/>
      <c r="B84" s="103" t="s">
        <v>74</v>
      </c>
      <c r="C84" s="31" t="s">
        <v>139</v>
      </c>
      <c r="D84" s="32"/>
      <c r="E84" s="32" t="s">
        <v>354</v>
      </c>
      <c r="F84" s="177">
        <v>49</v>
      </c>
      <c r="G84" s="197">
        <v>49</v>
      </c>
      <c r="H84" s="197">
        <f>'Hidden Calculation'!E79</f>
        <v>49</v>
      </c>
      <c r="I84" s="317"/>
    </row>
    <row r="85" spans="1:9">
      <c r="A85" s="299"/>
      <c r="B85" s="103" t="s">
        <v>75</v>
      </c>
      <c r="C85" s="31" t="s">
        <v>140</v>
      </c>
      <c r="D85" s="32"/>
      <c r="E85" s="31" t="s">
        <v>350</v>
      </c>
      <c r="F85" s="177">
        <v>120</v>
      </c>
      <c r="G85" s="197">
        <v>120</v>
      </c>
      <c r="H85" s="197">
        <f>'Hidden Calculation'!E80</f>
        <v>120</v>
      </c>
      <c r="I85" s="317"/>
    </row>
    <row r="86" spans="1:9">
      <c r="A86" s="299"/>
      <c r="B86" s="103" t="s">
        <v>76</v>
      </c>
      <c r="C86" s="31" t="s">
        <v>141</v>
      </c>
      <c r="D86" s="32"/>
      <c r="E86" s="32" t="s">
        <v>354</v>
      </c>
      <c r="F86" s="177">
        <v>47</v>
      </c>
      <c r="G86" s="197">
        <v>47</v>
      </c>
      <c r="H86" s="197">
        <f>'Hidden Calculation'!E81</f>
        <v>47</v>
      </c>
      <c r="I86" s="317"/>
    </row>
    <row r="87" spans="1:9" ht="15.75" thickBot="1">
      <c r="A87" s="300"/>
      <c r="B87" s="103" t="s">
        <v>182</v>
      </c>
      <c r="C87" s="31" t="s">
        <v>142</v>
      </c>
      <c r="D87" s="32"/>
      <c r="E87" s="31" t="s">
        <v>350</v>
      </c>
      <c r="F87" s="177">
        <v>0</v>
      </c>
      <c r="G87" s="197">
        <v>0</v>
      </c>
      <c r="H87" s="197">
        <f>'Hidden Calculation'!E82</f>
        <v>0</v>
      </c>
      <c r="I87" s="318"/>
    </row>
    <row r="88" spans="1:9" ht="15" customHeight="1">
      <c r="A88" s="298"/>
      <c r="B88" s="104" t="s">
        <v>202</v>
      </c>
      <c r="C88" s="19" t="s">
        <v>91</v>
      </c>
      <c r="D88" s="18"/>
      <c r="E88" s="18"/>
      <c r="F88" s="178">
        <v>30</v>
      </c>
      <c r="G88" s="198">
        <v>30</v>
      </c>
      <c r="H88" s="198">
        <f>'Hidden Calculation'!E83</f>
        <v>30</v>
      </c>
      <c r="I88" s="233" t="s">
        <v>357</v>
      </c>
    </row>
    <row r="89" spans="1:9">
      <c r="A89" s="299"/>
      <c r="B89" s="104" t="s">
        <v>205</v>
      </c>
      <c r="C89" s="19" t="s">
        <v>92</v>
      </c>
      <c r="D89" s="18"/>
      <c r="E89" s="18"/>
      <c r="F89" s="178">
        <v>1</v>
      </c>
      <c r="G89" s="198">
        <v>1</v>
      </c>
      <c r="H89" s="198">
        <f>'Hidden Calculation'!E84</f>
        <v>1</v>
      </c>
      <c r="I89" s="240"/>
    </row>
    <row r="90" spans="1:9">
      <c r="A90" s="299"/>
      <c r="B90" s="104" t="s">
        <v>288</v>
      </c>
      <c r="C90" s="19" t="s">
        <v>93</v>
      </c>
      <c r="D90" s="18"/>
      <c r="E90" s="18"/>
      <c r="F90" s="178">
        <v>10</v>
      </c>
      <c r="G90" s="198">
        <v>10</v>
      </c>
      <c r="H90" s="198">
        <f>'Hidden Calculation'!E85</f>
        <v>10</v>
      </c>
      <c r="I90" s="240"/>
    </row>
    <row r="91" spans="1:9">
      <c r="A91" s="299"/>
      <c r="B91" s="104" t="s">
        <v>289</v>
      </c>
      <c r="C91" s="19" t="s">
        <v>94</v>
      </c>
      <c r="D91" s="18"/>
      <c r="E91" s="18"/>
      <c r="F91" s="178">
        <v>30</v>
      </c>
      <c r="G91" s="198">
        <v>30</v>
      </c>
      <c r="H91" s="198">
        <f>'Hidden Calculation'!E86</f>
        <v>30</v>
      </c>
      <c r="I91" s="234"/>
    </row>
    <row r="92" spans="1:9">
      <c r="A92" s="299"/>
      <c r="B92" s="104" t="s">
        <v>294</v>
      </c>
      <c r="C92" s="19" t="s">
        <v>95</v>
      </c>
      <c r="D92" s="18"/>
      <c r="E92" s="214">
        <v>0</v>
      </c>
      <c r="F92" s="178">
        <v>0</v>
      </c>
      <c r="G92" s="198">
        <v>0</v>
      </c>
      <c r="H92" s="198">
        <f>'Hidden Calculation'!E87</f>
        <v>0</v>
      </c>
      <c r="I92" s="213" t="s">
        <v>359</v>
      </c>
    </row>
    <row r="93" spans="1:9">
      <c r="A93" s="299"/>
      <c r="B93" s="104" t="s">
        <v>316</v>
      </c>
      <c r="C93" s="19" t="s">
        <v>95</v>
      </c>
      <c r="D93" s="18"/>
      <c r="E93" s="18" t="s">
        <v>123</v>
      </c>
      <c r="F93" s="178">
        <v>0</v>
      </c>
      <c r="G93" s="198">
        <v>0</v>
      </c>
      <c r="H93" s="198">
        <f>'Hidden Calculation'!E88</f>
        <v>0</v>
      </c>
      <c r="I93" s="213" t="s">
        <v>360</v>
      </c>
    </row>
    <row r="94" spans="1:9" ht="15.75" thickBot="1">
      <c r="A94" s="300"/>
      <c r="B94" s="104" t="s">
        <v>317</v>
      </c>
      <c r="C94" s="19" t="s">
        <v>96</v>
      </c>
      <c r="D94" s="18"/>
      <c r="E94" s="18" t="s">
        <v>123</v>
      </c>
      <c r="F94" s="178">
        <v>1</v>
      </c>
      <c r="G94" s="198">
        <v>1</v>
      </c>
      <c r="H94" s="198">
        <f>'Hidden Calculation'!E89</f>
        <v>1</v>
      </c>
      <c r="I94" s="213" t="s">
        <v>358</v>
      </c>
    </row>
  </sheetData>
  <protectedRanges>
    <protectedRange sqref="J1:V1048576" name="Range3"/>
    <protectedRange sqref="G9:G94" name="Range2_1"/>
  </protectedRanges>
  <mergeCells count="66">
    <mergeCell ref="A64:A75"/>
    <mergeCell ref="A76:A87"/>
    <mergeCell ref="A88:A94"/>
    <mergeCell ref="G55:G56"/>
    <mergeCell ref="H55:H56"/>
    <mergeCell ref="A54:A63"/>
    <mergeCell ref="B55:B56"/>
    <mergeCell ref="C55:C56"/>
    <mergeCell ref="D55:D56"/>
    <mergeCell ref="F55:F56"/>
    <mergeCell ref="B31:B32"/>
    <mergeCell ref="C31:C32"/>
    <mergeCell ref="D31:D32"/>
    <mergeCell ref="F31:F32"/>
    <mergeCell ref="G31:G32"/>
    <mergeCell ref="B27:B28"/>
    <mergeCell ref="C27:C28"/>
    <mergeCell ref="D27:D28"/>
    <mergeCell ref="F27:F28"/>
    <mergeCell ref="G27:G28"/>
    <mergeCell ref="I4:I8"/>
    <mergeCell ref="I13:I15"/>
    <mergeCell ref="H14:H15"/>
    <mergeCell ref="I46:I47"/>
    <mergeCell ref="I76:I87"/>
    <mergeCell ref="H16:H19"/>
    <mergeCell ref="I55:I56"/>
    <mergeCell ref="I62:I63"/>
    <mergeCell ref="I64:I75"/>
    <mergeCell ref="I16:I19"/>
    <mergeCell ref="I22:I26"/>
    <mergeCell ref="H27:H28"/>
    <mergeCell ref="I27:I34"/>
    <mergeCell ref="H31:H32"/>
    <mergeCell ref="H35:H36"/>
    <mergeCell ref="I35:I36"/>
    <mergeCell ref="I88:I91"/>
    <mergeCell ref="B35:B36"/>
    <mergeCell ref="C35:C36"/>
    <mergeCell ref="D35:D36"/>
    <mergeCell ref="F35:F36"/>
    <mergeCell ref="B42:B44"/>
    <mergeCell ref="C42:C44"/>
    <mergeCell ref="D42:D44"/>
    <mergeCell ref="F42:F44"/>
    <mergeCell ref="G42:G44"/>
    <mergeCell ref="G35:G36"/>
    <mergeCell ref="I40:I41"/>
    <mergeCell ref="H42:H44"/>
    <mergeCell ref="I42:I44"/>
    <mergeCell ref="B16:B19"/>
    <mergeCell ref="C16:C19"/>
    <mergeCell ref="D16:D19"/>
    <mergeCell ref="F16:F19"/>
    <mergeCell ref="B2:G2"/>
    <mergeCell ref="B14:B15"/>
    <mergeCell ref="C14:C15"/>
    <mergeCell ref="D14:D15"/>
    <mergeCell ref="F14:F15"/>
    <mergeCell ref="G14:G15"/>
    <mergeCell ref="G16:G19"/>
    <mergeCell ref="A22:A26"/>
    <mergeCell ref="A27:A34"/>
    <mergeCell ref="A35:A39"/>
    <mergeCell ref="A40:A53"/>
    <mergeCell ref="A9:A21"/>
  </mergeCells>
  <conditionalFormatting sqref="F16:F19 H16:H19">
    <cfRule type="cellIs" dxfId="35" priority="25" operator="equal">
      <formula>3</formula>
    </cfRule>
    <cfRule type="cellIs" dxfId="34" priority="26" operator="equal">
      <formula>2</formula>
    </cfRule>
    <cfRule type="cellIs" dxfId="33" priority="27" operator="equal">
      <formula>1</formula>
    </cfRule>
    <cfRule type="cellIs" dxfId="32" priority="28" operator="equal">
      <formula>0</formula>
    </cfRule>
  </conditionalFormatting>
  <conditionalFormatting sqref="F42:F44">
    <cfRule type="cellIs" dxfId="31" priority="22" operator="equal">
      <formula>2</formula>
    </cfRule>
    <cfRule type="cellIs" dxfId="30" priority="23" operator="equal">
      <formula>1</formula>
    </cfRule>
    <cfRule type="cellIs" dxfId="29" priority="24" operator="equal">
      <formula>0</formula>
    </cfRule>
  </conditionalFormatting>
  <conditionalFormatting sqref="H42:H44">
    <cfRule type="cellIs" dxfId="28" priority="19" operator="equal">
      <formula>2</formula>
    </cfRule>
    <cfRule type="cellIs" dxfId="27" priority="20" operator="equal">
      <formula>1</formula>
    </cfRule>
    <cfRule type="cellIs" dxfId="26" priority="21" operator="equal">
      <formula>0</formula>
    </cfRule>
  </conditionalFormatting>
  <conditionalFormatting sqref="H9:H11 H13:H94">
    <cfRule type="cellIs" dxfId="25" priority="12" operator="notEqual">
      <formula>$F9</formula>
    </cfRule>
  </conditionalFormatting>
  <conditionalFormatting sqref="G16">
    <cfRule type="cellIs" dxfId="24" priority="8" operator="equal">
      <formula>3</formula>
    </cfRule>
    <cfRule type="cellIs" dxfId="23" priority="9" operator="equal">
      <formula>2</formula>
    </cfRule>
    <cfRule type="cellIs" dxfId="22" priority="10" operator="equal">
      <formula>1</formula>
    </cfRule>
    <cfRule type="cellIs" dxfId="21" priority="11" operator="equal">
      <formula>0</formula>
    </cfRule>
  </conditionalFormatting>
  <conditionalFormatting sqref="G42">
    <cfRule type="cellIs" dxfId="20" priority="5" operator="equal">
      <formula>2</formula>
    </cfRule>
    <cfRule type="cellIs" dxfId="19" priority="6" operator="equal">
      <formula>1</formula>
    </cfRule>
    <cfRule type="cellIs" dxfId="18" priority="7" operator="equal">
      <formula>0</formula>
    </cfRule>
  </conditionalFormatting>
  <conditionalFormatting sqref="G9:G11 G37:G94 G33:G35 G29:G31 G13:G27">
    <cfRule type="cellIs" dxfId="17" priority="4" operator="notEqual">
      <formula>$H9</formula>
    </cfRule>
  </conditionalFormatting>
  <conditionalFormatting sqref="G72">
    <cfRule type="cellIs" dxfId="16" priority="3" operator="notEqual">
      <formula>$H72</formula>
    </cfRule>
  </conditionalFormatting>
  <conditionalFormatting sqref="G71">
    <cfRule type="cellIs" dxfId="15" priority="2" operator="notEqual">
      <formula>$H$71</formula>
    </cfRule>
  </conditionalFormatting>
  <conditionalFormatting sqref="G88:G94">
    <cfRule type="cellIs" dxfId="14" priority="1" operator="notEqual">
      <formula>$H88</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I97"/>
  <sheetViews>
    <sheetView zoomScale="70" zoomScaleNormal="70" workbookViewId="0">
      <selection activeCell="O26" sqref="O26"/>
    </sheetView>
  </sheetViews>
  <sheetFormatPr defaultColWidth="9.140625" defaultRowHeight="15"/>
  <cols>
    <col min="2" max="2" width="12.140625" bestFit="1" customWidth="1"/>
    <col min="3" max="3" width="19.42578125" style="1" bestFit="1" customWidth="1"/>
    <col min="4" max="4" width="26.28515625" bestFit="1" customWidth="1"/>
    <col min="5" max="5" width="24.85546875" bestFit="1" customWidth="1"/>
    <col min="6" max="6" width="18.7109375" bestFit="1" customWidth="1"/>
    <col min="7" max="7" width="21.5703125" style="146" bestFit="1" customWidth="1"/>
    <col min="8" max="8" width="22.85546875" customWidth="1"/>
    <col min="9" max="9" width="60" style="137" customWidth="1"/>
  </cols>
  <sheetData>
    <row r="2" spans="1:9">
      <c r="B2" s="283" t="s">
        <v>315</v>
      </c>
      <c r="C2" s="283"/>
      <c r="D2" s="283"/>
      <c r="E2" s="283"/>
      <c r="F2" s="283"/>
      <c r="G2" s="283"/>
      <c r="H2" s="283"/>
      <c r="I2" s="131"/>
    </row>
    <row r="3" spans="1:9" s="208" customFormat="1" ht="30.75" thickBot="1">
      <c r="B3" s="209" t="s">
        <v>4</v>
      </c>
      <c r="C3" s="210" t="s">
        <v>5</v>
      </c>
      <c r="D3" s="209" t="s">
        <v>6</v>
      </c>
      <c r="E3" s="209" t="s">
        <v>7</v>
      </c>
      <c r="F3" s="209" t="s">
        <v>282</v>
      </c>
      <c r="G3" s="211" t="s">
        <v>336</v>
      </c>
      <c r="H3" s="211" t="s">
        <v>337</v>
      </c>
      <c r="I3" s="209" t="s">
        <v>156</v>
      </c>
    </row>
    <row r="4" spans="1:9" ht="15" customHeight="1">
      <c r="A4" s="298"/>
      <c r="B4" s="339" t="s">
        <v>9</v>
      </c>
      <c r="C4" s="341" t="s">
        <v>219</v>
      </c>
      <c r="D4" s="335" t="s">
        <v>270</v>
      </c>
      <c r="E4" s="63" t="s">
        <v>262</v>
      </c>
      <c r="F4" s="337">
        <v>2</v>
      </c>
      <c r="G4" s="346">
        <v>2</v>
      </c>
      <c r="H4" s="337">
        <f>'Hidden Calculation'!J18</f>
        <v>2</v>
      </c>
      <c r="I4" s="333" t="s">
        <v>312</v>
      </c>
    </row>
    <row r="5" spans="1:9" ht="28.5">
      <c r="A5" s="299"/>
      <c r="B5" s="340"/>
      <c r="C5" s="342"/>
      <c r="D5" s="336"/>
      <c r="E5" s="64" t="s">
        <v>263</v>
      </c>
      <c r="F5" s="338"/>
      <c r="G5" s="347"/>
      <c r="H5" s="338"/>
      <c r="I5" s="334"/>
    </row>
    <row r="6" spans="1:9">
      <c r="A6" s="299"/>
      <c r="B6" s="340"/>
      <c r="C6" s="342"/>
      <c r="D6" s="336"/>
      <c r="E6" s="61" t="s">
        <v>264</v>
      </c>
      <c r="F6" s="338"/>
      <c r="G6" s="347"/>
      <c r="H6" s="338"/>
      <c r="I6" s="334"/>
    </row>
    <row r="7" spans="1:9" ht="36" customHeight="1">
      <c r="A7" s="299"/>
      <c r="B7" s="340"/>
      <c r="C7" s="342"/>
      <c r="D7" s="336"/>
      <c r="E7" s="66" t="s">
        <v>265</v>
      </c>
      <c r="F7" s="338"/>
      <c r="G7" s="347"/>
      <c r="H7" s="338"/>
      <c r="I7" s="334"/>
    </row>
    <row r="8" spans="1:9" ht="67.5" customHeight="1">
      <c r="A8" s="299"/>
      <c r="B8" s="115" t="s">
        <v>10</v>
      </c>
      <c r="C8" s="62" t="s">
        <v>220</v>
      </c>
      <c r="D8" s="62" t="s">
        <v>269</v>
      </c>
      <c r="E8" s="62" t="s">
        <v>334</v>
      </c>
      <c r="F8" s="62">
        <v>0</v>
      </c>
      <c r="G8" s="138">
        <v>0</v>
      </c>
      <c r="H8" s="110">
        <f>'Hidden Calculation'!J19</f>
        <v>0</v>
      </c>
      <c r="I8" s="260" t="s">
        <v>339</v>
      </c>
    </row>
    <row r="9" spans="1:9" ht="67.5" customHeight="1">
      <c r="A9" s="299"/>
      <c r="B9" s="115" t="s">
        <v>11</v>
      </c>
      <c r="C9" s="62" t="s">
        <v>221</v>
      </c>
      <c r="D9" s="62" t="s">
        <v>266</v>
      </c>
      <c r="E9" s="62" t="s">
        <v>209</v>
      </c>
      <c r="F9" s="62">
        <v>5</v>
      </c>
      <c r="G9" s="138">
        <v>5</v>
      </c>
      <c r="H9" s="110">
        <f>'Hidden Calculation'!J20</f>
        <v>5</v>
      </c>
      <c r="I9" s="268"/>
    </row>
    <row r="10" spans="1:9" ht="35.25" customHeight="1">
      <c r="A10" s="299"/>
      <c r="B10" s="115" t="s">
        <v>12</v>
      </c>
      <c r="C10" s="62" t="s">
        <v>222</v>
      </c>
      <c r="D10" s="62" t="s">
        <v>267</v>
      </c>
      <c r="E10" s="62" t="s">
        <v>239</v>
      </c>
      <c r="F10" s="62">
        <v>0.04</v>
      </c>
      <c r="G10" s="138">
        <v>0.04</v>
      </c>
      <c r="H10" s="110">
        <f>'Hidden Calculation'!J21</f>
        <v>0.04</v>
      </c>
      <c r="I10" s="132" t="s">
        <v>313</v>
      </c>
    </row>
    <row r="11" spans="1:9" ht="19.5" customHeight="1">
      <c r="A11" s="299"/>
      <c r="B11" s="115" t="s">
        <v>13</v>
      </c>
      <c r="C11" s="62" t="s">
        <v>223</v>
      </c>
      <c r="D11" s="62" t="s">
        <v>240</v>
      </c>
      <c r="E11" s="62" t="s">
        <v>114</v>
      </c>
      <c r="F11" s="62">
        <v>0</v>
      </c>
      <c r="G11" s="138">
        <v>0</v>
      </c>
      <c r="H11" s="110">
        <f>'Hidden Calculation'!J22</f>
        <v>0</v>
      </c>
      <c r="I11" s="132"/>
    </row>
    <row r="12" spans="1:9" ht="73.5" customHeight="1">
      <c r="A12" s="299"/>
      <c r="B12" s="116" t="s">
        <v>14</v>
      </c>
      <c r="C12" s="64" t="s">
        <v>224</v>
      </c>
      <c r="D12" s="64" t="s">
        <v>268</v>
      </c>
      <c r="E12" s="64" t="s">
        <v>334</v>
      </c>
      <c r="F12" s="64">
        <v>0</v>
      </c>
      <c r="G12" s="139">
        <v>0</v>
      </c>
      <c r="H12" s="111">
        <f>'Hidden Calculation'!J23</f>
        <v>0</v>
      </c>
      <c r="I12" s="269" t="s">
        <v>339</v>
      </c>
    </row>
    <row r="13" spans="1:9" ht="73.5" customHeight="1">
      <c r="A13" s="299"/>
      <c r="B13" s="116" t="s">
        <v>15</v>
      </c>
      <c r="C13" s="64" t="s">
        <v>225</v>
      </c>
      <c r="D13" s="64" t="s">
        <v>241</v>
      </c>
      <c r="E13" s="64" t="s">
        <v>209</v>
      </c>
      <c r="F13" s="64">
        <v>5</v>
      </c>
      <c r="G13" s="139">
        <v>5</v>
      </c>
      <c r="H13" s="111">
        <f>'Hidden Calculation'!J24</f>
        <v>5</v>
      </c>
      <c r="I13" s="271"/>
    </row>
    <row r="14" spans="1:9" ht="28.5">
      <c r="A14" s="299"/>
      <c r="B14" s="116" t="s">
        <v>16</v>
      </c>
      <c r="C14" s="64" t="s">
        <v>226</v>
      </c>
      <c r="D14" s="64" t="s">
        <v>242</v>
      </c>
      <c r="E14" s="64" t="s">
        <v>239</v>
      </c>
      <c r="F14" s="64">
        <v>0.04</v>
      </c>
      <c r="G14" s="139">
        <v>0.04</v>
      </c>
      <c r="H14" s="111">
        <f>'Hidden Calculation'!J25</f>
        <v>0.04</v>
      </c>
      <c r="I14" s="133" t="s">
        <v>313</v>
      </c>
    </row>
    <row r="15" spans="1:9" ht="18.75" customHeight="1" thickBot="1">
      <c r="A15" s="300"/>
      <c r="B15" s="116" t="s">
        <v>17</v>
      </c>
      <c r="C15" s="64" t="s">
        <v>227</v>
      </c>
      <c r="D15" s="64" t="s">
        <v>243</v>
      </c>
      <c r="E15" s="64" t="s">
        <v>114</v>
      </c>
      <c r="F15" s="64">
        <v>0</v>
      </c>
      <c r="G15" s="139">
        <v>0</v>
      </c>
      <c r="H15" s="111">
        <f>'Hidden Calculation'!J26</f>
        <v>0</v>
      </c>
      <c r="I15" s="133"/>
    </row>
    <row r="16" spans="1:9" ht="48" customHeight="1">
      <c r="A16" s="298"/>
      <c r="B16" s="115" t="s">
        <v>18</v>
      </c>
      <c r="C16" s="62" t="s">
        <v>228</v>
      </c>
      <c r="D16" s="62" t="s">
        <v>284</v>
      </c>
      <c r="E16" s="65" t="s">
        <v>283</v>
      </c>
      <c r="F16" s="62">
        <v>0</v>
      </c>
      <c r="G16" s="138">
        <v>0</v>
      </c>
      <c r="H16" s="110">
        <f>'Hidden Calculation'!J27</f>
        <v>0</v>
      </c>
      <c r="I16" s="132"/>
    </row>
    <row r="17" spans="1:9" ht="48" customHeight="1">
      <c r="A17" s="299"/>
      <c r="B17" s="116" t="s">
        <v>19</v>
      </c>
      <c r="C17" s="64" t="s">
        <v>229</v>
      </c>
      <c r="D17" s="64" t="s">
        <v>244</v>
      </c>
      <c r="E17" s="64" t="s">
        <v>118</v>
      </c>
      <c r="F17" s="64">
        <v>1</v>
      </c>
      <c r="G17" s="139">
        <v>1</v>
      </c>
      <c r="H17" s="111">
        <f>'Hidden Calculation'!J28</f>
        <v>1</v>
      </c>
      <c r="I17" s="133"/>
    </row>
    <row r="18" spans="1:9" ht="48" customHeight="1">
      <c r="A18" s="299"/>
      <c r="B18" s="117" t="s">
        <v>20</v>
      </c>
      <c r="C18" s="66" t="s">
        <v>230</v>
      </c>
      <c r="D18" s="66" t="s">
        <v>271</v>
      </c>
      <c r="E18" s="66" t="s">
        <v>114</v>
      </c>
      <c r="F18" s="66">
        <v>0</v>
      </c>
      <c r="G18" s="140">
        <v>0</v>
      </c>
      <c r="H18" s="125">
        <f>'Hidden Calculation'!J29</f>
        <v>0</v>
      </c>
      <c r="I18" s="124"/>
    </row>
    <row r="19" spans="1:9" ht="48" customHeight="1">
      <c r="A19" s="299"/>
      <c r="B19" s="118" t="s">
        <v>21</v>
      </c>
      <c r="C19" s="61" t="s">
        <v>231</v>
      </c>
      <c r="D19" s="61" t="s">
        <v>245</v>
      </c>
      <c r="E19" s="61" t="s">
        <v>246</v>
      </c>
      <c r="F19" s="61">
        <v>20</v>
      </c>
      <c r="G19" s="141">
        <v>20</v>
      </c>
      <c r="H19" s="112">
        <f>'Hidden Calculation'!J30</f>
        <v>20</v>
      </c>
      <c r="I19" s="134"/>
    </row>
    <row r="20" spans="1:9" ht="48" customHeight="1" thickBot="1">
      <c r="A20" s="300"/>
      <c r="B20" s="117" t="s">
        <v>22</v>
      </c>
      <c r="C20" s="66" t="s">
        <v>232</v>
      </c>
      <c r="D20" s="66" t="s">
        <v>247</v>
      </c>
      <c r="E20" s="66" t="s">
        <v>248</v>
      </c>
      <c r="F20" s="66">
        <v>-0.17</v>
      </c>
      <c r="G20" s="140">
        <v>-0.17</v>
      </c>
      <c r="H20" s="125">
        <f>'Hidden Calculation'!J31</f>
        <v>-0.17</v>
      </c>
      <c r="I20" s="124"/>
    </row>
    <row r="21" spans="1:9" ht="67.5" customHeight="1">
      <c r="A21" s="298"/>
      <c r="B21" s="119" t="s">
        <v>23</v>
      </c>
      <c r="C21" s="60" t="s">
        <v>233</v>
      </c>
      <c r="D21" s="60" t="s">
        <v>272</v>
      </c>
      <c r="E21" s="60" t="s">
        <v>334</v>
      </c>
      <c r="F21" s="60">
        <v>0</v>
      </c>
      <c r="G21" s="142">
        <v>0</v>
      </c>
      <c r="H21" s="83">
        <f>'Hidden Calculation'!J32</f>
        <v>0</v>
      </c>
      <c r="I21" s="248" t="s">
        <v>339</v>
      </c>
    </row>
    <row r="22" spans="1:9" ht="67.5" customHeight="1">
      <c r="A22" s="299"/>
      <c r="B22" s="119" t="s">
        <v>24</v>
      </c>
      <c r="C22" s="60" t="s">
        <v>234</v>
      </c>
      <c r="D22" s="60" t="s">
        <v>273</v>
      </c>
      <c r="E22" s="60" t="s">
        <v>209</v>
      </c>
      <c r="F22" s="60">
        <v>5</v>
      </c>
      <c r="G22" s="142">
        <v>5</v>
      </c>
      <c r="H22" s="83">
        <f>'Hidden Calculation'!J33</f>
        <v>5</v>
      </c>
      <c r="I22" s="249"/>
    </row>
    <row r="23" spans="1:9" ht="28.5">
      <c r="A23" s="299"/>
      <c r="B23" s="119" t="s">
        <v>25</v>
      </c>
      <c r="C23" s="60" t="s">
        <v>235</v>
      </c>
      <c r="D23" s="60" t="s">
        <v>274</v>
      </c>
      <c r="E23" s="60" t="s">
        <v>239</v>
      </c>
      <c r="F23" s="60">
        <v>0.04</v>
      </c>
      <c r="G23" s="142">
        <v>0.04</v>
      </c>
      <c r="H23" s="83">
        <f>'Hidden Calculation'!J34</f>
        <v>0.04</v>
      </c>
      <c r="I23" s="126" t="s">
        <v>313</v>
      </c>
    </row>
    <row r="24" spans="1:9">
      <c r="A24" s="299"/>
      <c r="B24" s="119" t="s">
        <v>26</v>
      </c>
      <c r="C24" s="60" t="s">
        <v>236</v>
      </c>
      <c r="D24" s="60" t="s">
        <v>249</v>
      </c>
      <c r="E24" s="60" t="s">
        <v>114</v>
      </c>
      <c r="F24" s="60">
        <v>0</v>
      </c>
      <c r="G24" s="142">
        <v>0</v>
      </c>
      <c r="H24" s="83">
        <f>'Hidden Calculation'!J35</f>
        <v>0</v>
      </c>
      <c r="I24" s="126"/>
    </row>
    <row r="25" spans="1:9" ht="32.25" customHeight="1">
      <c r="A25" s="299"/>
      <c r="B25" s="119" t="s">
        <v>27</v>
      </c>
      <c r="C25" s="60" t="s">
        <v>237</v>
      </c>
      <c r="D25" s="60" t="s">
        <v>250</v>
      </c>
      <c r="E25" s="60" t="s">
        <v>114</v>
      </c>
      <c r="F25" s="60">
        <v>1</v>
      </c>
      <c r="G25" s="142">
        <v>1</v>
      </c>
      <c r="H25" s="83">
        <f>'Hidden Calculation'!J36</f>
        <v>1</v>
      </c>
      <c r="I25" s="126"/>
    </row>
    <row r="26" spans="1:9" ht="67.5" customHeight="1">
      <c r="A26" s="299"/>
      <c r="B26" s="120" t="s">
        <v>28</v>
      </c>
      <c r="C26" s="59" t="s">
        <v>238</v>
      </c>
      <c r="D26" s="59" t="s">
        <v>275</v>
      </c>
      <c r="E26" s="59" t="s">
        <v>239</v>
      </c>
      <c r="F26" s="59">
        <v>0.2</v>
      </c>
      <c r="G26" s="143">
        <v>0.2</v>
      </c>
      <c r="H26" s="113">
        <f>'Hidden Calculation'!J37</f>
        <v>0.2</v>
      </c>
      <c r="I26" s="131" t="s">
        <v>210</v>
      </c>
    </row>
    <row r="27" spans="1:9" ht="67.5" customHeight="1" thickBot="1">
      <c r="A27" s="300"/>
      <c r="B27" s="119" t="s">
        <v>29</v>
      </c>
      <c r="C27" s="60" t="s">
        <v>251</v>
      </c>
      <c r="D27" s="60" t="s">
        <v>276</v>
      </c>
      <c r="E27" s="60" t="s">
        <v>239</v>
      </c>
      <c r="F27" s="60">
        <v>0.2</v>
      </c>
      <c r="G27" s="142">
        <v>0.2</v>
      </c>
      <c r="H27" s="83">
        <f>'Hidden Calculation'!J38</f>
        <v>0.2</v>
      </c>
      <c r="I27" s="126" t="s">
        <v>210</v>
      </c>
    </row>
    <row r="28" spans="1:9" ht="28.5">
      <c r="A28" s="298"/>
      <c r="B28" s="115" t="s">
        <v>30</v>
      </c>
      <c r="C28" s="62" t="s">
        <v>252</v>
      </c>
      <c r="D28" s="62" t="s">
        <v>253</v>
      </c>
      <c r="E28" s="62" t="s">
        <v>112</v>
      </c>
      <c r="F28" s="62">
        <v>0.8</v>
      </c>
      <c r="G28" s="138">
        <v>0.8</v>
      </c>
      <c r="H28" s="110">
        <f>'Hidden Calculation'!J39</f>
        <v>0.8</v>
      </c>
      <c r="I28" s="132" t="s">
        <v>314</v>
      </c>
    </row>
    <row r="29" spans="1:9" ht="28.5">
      <c r="A29" s="299"/>
      <c r="B29" s="121" t="s">
        <v>31</v>
      </c>
      <c r="C29" s="67" t="s">
        <v>254</v>
      </c>
      <c r="D29" s="67" t="s">
        <v>277</v>
      </c>
      <c r="E29" s="67" t="s">
        <v>114</v>
      </c>
      <c r="F29" s="67">
        <v>0.8</v>
      </c>
      <c r="G29" s="144">
        <v>0.8</v>
      </c>
      <c r="H29" s="114">
        <f>'Hidden Calculation'!J40</f>
        <v>0.8</v>
      </c>
      <c r="I29" s="343" t="s">
        <v>335</v>
      </c>
    </row>
    <row r="30" spans="1:9" ht="45" customHeight="1">
      <c r="A30" s="299"/>
      <c r="B30" s="121" t="s">
        <v>32</v>
      </c>
      <c r="C30" s="67" t="s">
        <v>255</v>
      </c>
      <c r="D30" s="67" t="s">
        <v>278</v>
      </c>
      <c r="E30" s="67" t="s">
        <v>114</v>
      </c>
      <c r="F30" s="67">
        <v>0.82</v>
      </c>
      <c r="G30" s="144">
        <v>0.82</v>
      </c>
      <c r="H30" s="114">
        <f>'Hidden Calculation'!J41</f>
        <v>0.82</v>
      </c>
      <c r="I30" s="344"/>
    </row>
    <row r="31" spans="1:9" ht="33.75" customHeight="1">
      <c r="A31" s="299"/>
      <c r="B31" s="121" t="s">
        <v>33</v>
      </c>
      <c r="C31" s="67" t="s">
        <v>256</v>
      </c>
      <c r="D31" s="67" t="s">
        <v>279</v>
      </c>
      <c r="E31" s="67" t="s">
        <v>257</v>
      </c>
      <c r="F31" s="67">
        <v>1.2</v>
      </c>
      <c r="G31" s="144">
        <v>1.2</v>
      </c>
      <c r="H31" s="114">
        <f>'Hidden Calculation'!J42</f>
        <v>1.2</v>
      </c>
      <c r="I31" s="344"/>
    </row>
    <row r="32" spans="1:9" ht="47.25" customHeight="1">
      <c r="A32" s="299"/>
      <c r="B32" s="121" t="s">
        <v>34</v>
      </c>
      <c r="C32" s="67" t="s">
        <v>258</v>
      </c>
      <c r="D32" s="67" t="s">
        <v>280</v>
      </c>
      <c r="E32" s="67" t="s">
        <v>257</v>
      </c>
      <c r="F32" s="67">
        <v>1.18</v>
      </c>
      <c r="G32" s="144">
        <v>1.18</v>
      </c>
      <c r="H32" s="114">
        <f>'Hidden Calculation'!J43</f>
        <v>1.18</v>
      </c>
      <c r="I32" s="345"/>
    </row>
    <row r="33" spans="1:9" ht="57">
      <c r="A33" s="299"/>
      <c r="B33" s="121" t="s">
        <v>35</v>
      </c>
      <c r="C33" s="67" t="s">
        <v>259</v>
      </c>
      <c r="D33" s="67" t="s">
        <v>281</v>
      </c>
      <c r="E33" s="67" t="s">
        <v>260</v>
      </c>
      <c r="F33" s="67">
        <v>0.2</v>
      </c>
      <c r="G33" s="144">
        <v>0.2</v>
      </c>
      <c r="H33" s="114">
        <f>'Hidden Calculation'!J44</f>
        <v>0.2</v>
      </c>
      <c r="I33" s="135"/>
    </row>
    <row r="34" spans="1:9" ht="39.75" customHeight="1" thickBot="1">
      <c r="A34" s="300"/>
      <c r="B34" s="122" t="s">
        <v>36</v>
      </c>
      <c r="C34" s="68" t="s">
        <v>95</v>
      </c>
      <c r="D34" s="68" t="s">
        <v>261</v>
      </c>
      <c r="E34" s="69"/>
      <c r="F34" s="68">
        <v>1</v>
      </c>
      <c r="G34" s="145">
        <v>1</v>
      </c>
      <c r="H34" s="109">
        <f>'Hidden Calculation'!J45</f>
        <v>1</v>
      </c>
      <c r="I34" s="136"/>
    </row>
    <row r="35" spans="1:9">
      <c r="C35"/>
    </row>
    <row r="36" spans="1:9">
      <c r="C36"/>
    </row>
    <row r="37" spans="1:9">
      <c r="C37"/>
    </row>
    <row r="38" spans="1:9">
      <c r="C38"/>
    </row>
    <row r="39" spans="1:9">
      <c r="C39"/>
    </row>
    <row r="40" spans="1:9">
      <c r="C40"/>
    </row>
    <row r="41" spans="1:9">
      <c r="C41"/>
    </row>
    <row r="42" spans="1:9">
      <c r="C42"/>
    </row>
    <row r="43" spans="1:9">
      <c r="C43"/>
    </row>
    <row r="44" spans="1:9">
      <c r="C44"/>
    </row>
    <row r="45" spans="1:9">
      <c r="C45"/>
    </row>
    <row r="46" spans="1:9">
      <c r="C46"/>
    </row>
    <row r="47" spans="1:9">
      <c r="C47"/>
    </row>
    <row r="48" spans="1:9">
      <c r="C48"/>
    </row>
    <row r="49" spans="3:3">
      <c r="C49"/>
    </row>
    <row r="50" spans="3:3">
      <c r="C50"/>
    </row>
    <row r="51" spans="3:3">
      <c r="C51"/>
    </row>
    <row r="52" spans="3:3">
      <c r="C52"/>
    </row>
    <row r="53" spans="3:3">
      <c r="C53"/>
    </row>
    <row r="54" spans="3:3">
      <c r="C54"/>
    </row>
    <row r="55" spans="3:3">
      <c r="C55"/>
    </row>
    <row r="56" spans="3:3">
      <c r="C56"/>
    </row>
    <row r="57" spans="3:3">
      <c r="C57"/>
    </row>
    <row r="58" spans="3:3">
      <c r="C58"/>
    </row>
    <row r="59" spans="3:3">
      <c r="C59"/>
    </row>
    <row r="60" spans="3:3">
      <c r="C60"/>
    </row>
    <row r="61" spans="3:3">
      <c r="C61"/>
    </row>
    <row r="62" spans="3:3">
      <c r="C62"/>
    </row>
    <row r="63" spans="3:3">
      <c r="C63"/>
    </row>
    <row r="64" spans="3:3">
      <c r="C64"/>
    </row>
    <row r="65" spans="3:3">
      <c r="C65"/>
    </row>
    <row r="66" spans="3:3">
      <c r="C66"/>
    </row>
    <row r="67" spans="3:3">
      <c r="C67"/>
    </row>
    <row r="68" spans="3:3">
      <c r="C68"/>
    </row>
    <row r="69" spans="3:3">
      <c r="C69"/>
    </row>
    <row r="70" spans="3:3">
      <c r="C70"/>
    </row>
    <row r="71" spans="3:3">
      <c r="C71"/>
    </row>
    <row r="72" spans="3:3">
      <c r="C72"/>
    </row>
    <row r="73" spans="3:3">
      <c r="C73"/>
    </row>
    <row r="74" spans="3:3">
      <c r="C74"/>
    </row>
    <row r="75" spans="3:3">
      <c r="C75"/>
    </row>
    <row r="76" spans="3:3">
      <c r="C76"/>
    </row>
    <row r="77" spans="3:3">
      <c r="C77"/>
    </row>
    <row r="78" spans="3:3">
      <c r="C78"/>
    </row>
    <row r="79" spans="3:3">
      <c r="C79"/>
    </row>
    <row r="80" spans="3:3">
      <c r="C80"/>
    </row>
    <row r="81" spans="3:3">
      <c r="C81"/>
    </row>
    <row r="82" spans="3:3">
      <c r="C82"/>
    </row>
    <row r="83" spans="3:3">
      <c r="C83"/>
    </row>
    <row r="84" spans="3:3">
      <c r="C84"/>
    </row>
    <row r="85" spans="3:3">
      <c r="C85"/>
    </row>
    <row r="86" spans="3:3">
      <c r="C86"/>
    </row>
    <row r="87" spans="3:3">
      <c r="C87"/>
    </row>
    <row r="88" spans="3:3">
      <c r="C88"/>
    </row>
    <row r="89" spans="3:3">
      <c r="C89"/>
    </row>
    <row r="90" spans="3:3">
      <c r="C90"/>
    </row>
    <row r="91" spans="3:3">
      <c r="C91"/>
    </row>
    <row r="92" spans="3:3">
      <c r="C92"/>
    </row>
    <row r="93" spans="3:3">
      <c r="C93"/>
    </row>
    <row r="94" spans="3:3">
      <c r="C94"/>
    </row>
    <row r="95" spans="3:3">
      <c r="C95"/>
    </row>
    <row r="96" spans="3:3">
      <c r="C96"/>
    </row>
    <row r="97" spans="3:3">
      <c r="C97"/>
    </row>
  </sheetData>
  <protectedRanges>
    <protectedRange sqref="J1:T1048576" name="Range3"/>
    <protectedRange sqref="G1:G1048576" name="Range2"/>
  </protectedRanges>
  <mergeCells count="16">
    <mergeCell ref="A4:A15"/>
    <mergeCell ref="A16:A20"/>
    <mergeCell ref="A21:A27"/>
    <mergeCell ref="A28:A34"/>
    <mergeCell ref="I21:I22"/>
    <mergeCell ref="I29:I32"/>
    <mergeCell ref="I8:I9"/>
    <mergeCell ref="I12:I13"/>
    <mergeCell ref="G4:G7"/>
    <mergeCell ref="B2:H2"/>
    <mergeCell ref="I4:I7"/>
    <mergeCell ref="D4:D7"/>
    <mergeCell ref="H4:H7"/>
    <mergeCell ref="B4:B7"/>
    <mergeCell ref="C4:C7"/>
    <mergeCell ref="F4:F7"/>
  </mergeCells>
  <conditionalFormatting sqref="F4:F7">
    <cfRule type="cellIs" dxfId="13" priority="11" operator="equal">
      <formula>3</formula>
    </cfRule>
    <cfRule type="cellIs" dxfId="12" priority="12" operator="equal">
      <formula>2</formula>
    </cfRule>
    <cfRule type="cellIs" dxfId="11" priority="13" operator="equal">
      <formula>1</formula>
    </cfRule>
    <cfRule type="cellIs" dxfId="10" priority="14" operator="equal">
      <formula>0</formula>
    </cfRule>
  </conditionalFormatting>
  <conditionalFormatting sqref="G4:H7">
    <cfRule type="cellIs" dxfId="9" priority="7" operator="equal">
      <formula>3</formula>
    </cfRule>
    <cfRule type="cellIs" dxfId="8" priority="8" operator="equal">
      <formula>2</formula>
    </cfRule>
    <cfRule type="cellIs" dxfId="7" priority="9" operator="equal">
      <formula>1</formula>
    </cfRule>
    <cfRule type="cellIs" dxfId="6" priority="10" operator="equal">
      <formula>0</formula>
    </cfRule>
  </conditionalFormatting>
  <conditionalFormatting sqref="G4:G34">
    <cfRule type="cellIs" dxfId="5" priority="6" operator="notEqual">
      <formula>$F4</formula>
    </cfRule>
  </conditionalFormatting>
  <conditionalFormatting sqref="I4:I7">
    <cfRule type="cellIs" dxfId="4" priority="2" operator="equal">
      <formula>3</formula>
    </cfRule>
    <cfRule type="cellIs" dxfId="3" priority="3" operator="equal">
      <formula>2</formula>
    </cfRule>
    <cfRule type="cellIs" dxfId="2" priority="4" operator="equal">
      <formula>1</formula>
    </cfRule>
    <cfRule type="cellIs" dxfId="1" priority="5" operator="equal">
      <formula>0</formula>
    </cfRule>
  </conditionalFormatting>
  <conditionalFormatting sqref="H4:H34">
    <cfRule type="cellIs" dxfId="0" priority="1" operator="notEqual">
      <formula>$F4</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
  <sheetViews>
    <sheetView workbookViewId="0"/>
  </sheetViews>
  <sheetFormatPr defaultColWidth="9.140625" defaultRowHeight="1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N84"/>
  <sheetViews>
    <sheetView topLeftCell="A36" zoomScale="85" zoomScaleNormal="85" workbookViewId="0">
      <selection activeCell="F82" sqref="F82"/>
    </sheetView>
  </sheetViews>
  <sheetFormatPr defaultColWidth="9.140625" defaultRowHeight="15"/>
  <cols>
    <col min="1" max="1" width="4.7109375" bestFit="1" customWidth="1"/>
    <col min="2" max="2" width="12.85546875" bestFit="1" customWidth="1"/>
  </cols>
  <sheetData>
    <row r="1" spans="1:14" ht="15.75" thickBot="1">
      <c r="A1" s="348" t="s">
        <v>501</v>
      </c>
      <c r="B1" s="350"/>
      <c r="C1" s="350"/>
      <c r="E1" s="154" t="s">
        <v>332</v>
      </c>
      <c r="F1" s="155"/>
      <c r="G1" s="155">
        <f>IF(C3=0,0.01,C3)</f>
        <v>0.01</v>
      </c>
      <c r="H1" s="155">
        <f>C5</f>
        <v>0.5</v>
      </c>
      <c r="I1" s="155">
        <f>C5</f>
        <v>0.5</v>
      </c>
      <c r="J1" s="155">
        <f>C7</f>
        <v>1</v>
      </c>
      <c r="K1" s="155">
        <f>C7</f>
        <v>1</v>
      </c>
      <c r="L1" s="156">
        <v>30</v>
      </c>
    </row>
    <row r="2" spans="1:14">
      <c r="A2" s="77" t="s">
        <v>51</v>
      </c>
      <c r="B2" s="70" t="s">
        <v>143</v>
      </c>
      <c r="C2" s="153">
        <f>VALUE(SunnyCentral!G64)</f>
        <v>1.32</v>
      </c>
      <c r="E2" s="157"/>
      <c r="G2">
        <f>C2</f>
        <v>1.32</v>
      </c>
      <c r="H2">
        <f>C2</f>
        <v>1.32</v>
      </c>
      <c r="I2">
        <f>C4</f>
        <v>1.22</v>
      </c>
      <c r="J2">
        <f>C4</f>
        <v>1.22</v>
      </c>
      <c r="K2">
        <f>C6</f>
        <v>1.1200000000000001</v>
      </c>
      <c r="L2" s="158">
        <f>C6</f>
        <v>1.1200000000000001</v>
      </c>
    </row>
    <row r="3" spans="1:14">
      <c r="A3" s="39" t="s">
        <v>52</v>
      </c>
      <c r="B3" s="39" t="s">
        <v>144</v>
      </c>
      <c r="C3" s="153">
        <f>VALUE(SunnyCentral!G65)</f>
        <v>0</v>
      </c>
      <c r="E3" s="157"/>
      <c r="F3">
        <f>C13</f>
        <v>0.5</v>
      </c>
      <c r="G3">
        <f>C13</f>
        <v>0.5</v>
      </c>
      <c r="H3">
        <f>C11</f>
        <v>2.1</v>
      </c>
      <c r="I3">
        <f>C11</f>
        <v>2.1</v>
      </c>
      <c r="J3">
        <f>C9</f>
        <v>10.5</v>
      </c>
      <c r="K3">
        <f>C9</f>
        <v>10.5</v>
      </c>
      <c r="L3" s="158">
        <v>30</v>
      </c>
    </row>
    <row r="4" spans="1:14">
      <c r="A4" s="39" t="s">
        <v>53</v>
      </c>
      <c r="B4" s="39" t="s">
        <v>145</v>
      </c>
      <c r="C4" s="153">
        <f>VALUE(SunnyCentral!G66)</f>
        <v>1.22</v>
      </c>
      <c r="E4" s="159"/>
      <c r="F4" s="160">
        <f>0</f>
        <v>0</v>
      </c>
      <c r="G4" s="160">
        <f>C12</f>
        <v>0.68</v>
      </c>
      <c r="H4" s="160">
        <f>C12</f>
        <v>0.68</v>
      </c>
      <c r="I4" s="160">
        <f>C10</f>
        <v>0.78</v>
      </c>
      <c r="J4" s="160">
        <f>C10</f>
        <v>0.78</v>
      </c>
      <c r="K4" s="160">
        <f>C8</f>
        <v>0.88</v>
      </c>
      <c r="L4" s="88">
        <f>C8</f>
        <v>0.88</v>
      </c>
    </row>
    <row r="5" spans="1:14">
      <c r="A5" s="39" t="s">
        <v>54</v>
      </c>
      <c r="B5" s="39" t="s">
        <v>146</v>
      </c>
      <c r="C5" s="153">
        <f>VALUE(SunnyCentral!G67)</f>
        <v>0.5</v>
      </c>
    </row>
    <row r="6" spans="1:14">
      <c r="A6" s="39" t="s">
        <v>55</v>
      </c>
      <c r="B6" s="39" t="s">
        <v>147</v>
      </c>
      <c r="C6" s="153">
        <f>VALUE(SunnyCentral!G68)</f>
        <v>1.1200000000000001</v>
      </c>
      <c r="E6" s="154" t="s">
        <v>325</v>
      </c>
      <c r="F6" s="155"/>
      <c r="G6" s="155">
        <v>0.01</v>
      </c>
      <c r="H6" s="155">
        <v>1</v>
      </c>
      <c r="I6" s="155">
        <v>1</v>
      </c>
      <c r="J6" s="155">
        <v>3</v>
      </c>
      <c r="K6" s="155">
        <v>3</v>
      </c>
      <c r="L6" s="156">
        <v>30</v>
      </c>
    </row>
    <row r="7" spans="1:14">
      <c r="A7" s="78" t="s">
        <v>56</v>
      </c>
      <c r="B7" s="39" t="s">
        <v>148</v>
      </c>
      <c r="C7" s="153">
        <f>VALUE(SunnyCentral!G69)</f>
        <v>1</v>
      </c>
      <c r="E7" s="157"/>
      <c r="G7">
        <v>1.4</v>
      </c>
      <c r="H7">
        <v>1.4</v>
      </c>
      <c r="I7">
        <v>1.3</v>
      </c>
      <c r="J7">
        <v>1.3</v>
      </c>
      <c r="K7">
        <v>1.2</v>
      </c>
      <c r="L7" s="158">
        <v>1.2</v>
      </c>
    </row>
    <row r="8" spans="1:14">
      <c r="A8" s="41" t="s">
        <v>57</v>
      </c>
      <c r="B8" s="41" t="s">
        <v>149</v>
      </c>
      <c r="C8" s="153">
        <f>VALUE(SunnyCentral!G70)</f>
        <v>0.88</v>
      </c>
      <c r="E8" s="157"/>
      <c r="G8">
        <v>0</v>
      </c>
      <c r="H8">
        <v>2</v>
      </c>
      <c r="I8">
        <v>2</v>
      </c>
      <c r="J8">
        <v>5</v>
      </c>
      <c r="K8">
        <v>5</v>
      </c>
      <c r="L8" s="158">
        <v>30</v>
      </c>
    </row>
    <row r="9" spans="1:14">
      <c r="A9" s="41" t="s">
        <v>58</v>
      </c>
      <c r="B9" s="41" t="s">
        <v>150</v>
      </c>
      <c r="C9" s="153">
        <f>VALUE(SunnyCentral!G71)</f>
        <v>10.5</v>
      </c>
      <c r="E9" s="159"/>
      <c r="F9" s="160"/>
      <c r="G9" s="160">
        <v>0</v>
      </c>
      <c r="H9" s="160">
        <v>0</v>
      </c>
      <c r="I9" s="160">
        <v>0.4</v>
      </c>
      <c r="J9" s="160">
        <v>0.4</v>
      </c>
      <c r="K9" s="160">
        <v>0.8</v>
      </c>
      <c r="L9" s="88">
        <v>0.8</v>
      </c>
    </row>
    <row r="10" spans="1:14">
      <c r="A10" s="41" t="s">
        <v>59</v>
      </c>
      <c r="B10" s="41" t="s">
        <v>151</v>
      </c>
      <c r="C10" s="153">
        <f>VALUE(SunnyCentral!G72)</f>
        <v>0.78</v>
      </c>
    </row>
    <row r="11" spans="1:14">
      <c r="A11" s="41" t="s">
        <v>60</v>
      </c>
      <c r="B11" s="41" t="s">
        <v>152</v>
      </c>
      <c r="C11" s="153">
        <f>VALUE(SunnyCentral!G73)</f>
        <v>2.1</v>
      </c>
      <c r="E11" s="154" t="s">
        <v>328</v>
      </c>
      <c r="F11" s="155">
        <v>0.43</v>
      </c>
      <c r="G11" s="155">
        <v>0.43</v>
      </c>
      <c r="H11" s="155">
        <v>2</v>
      </c>
      <c r="I11" s="155">
        <v>2</v>
      </c>
      <c r="J11" s="155">
        <v>10</v>
      </c>
      <c r="K11" s="155">
        <v>10</v>
      </c>
      <c r="L11" s="155">
        <v>30</v>
      </c>
      <c r="M11" s="155"/>
      <c r="N11" s="156"/>
    </row>
    <row r="12" spans="1:14">
      <c r="A12" s="41" t="s">
        <v>61</v>
      </c>
      <c r="B12" s="41" t="s">
        <v>153</v>
      </c>
      <c r="C12" s="153">
        <f>VALUE(SunnyCentral!G74)</f>
        <v>0.68</v>
      </c>
      <c r="E12" s="157"/>
      <c r="F12">
        <v>0</v>
      </c>
      <c r="G12">
        <v>0.7</v>
      </c>
      <c r="H12">
        <v>0.7</v>
      </c>
      <c r="I12">
        <v>0.8</v>
      </c>
      <c r="J12">
        <v>0.8</v>
      </c>
      <c r="K12">
        <v>0.9</v>
      </c>
      <c r="L12">
        <v>0.9</v>
      </c>
      <c r="N12" s="158"/>
    </row>
    <row r="13" spans="1:14" ht="15.75" thickBot="1">
      <c r="A13" s="41" t="s">
        <v>62</v>
      </c>
      <c r="B13" s="71" t="s">
        <v>154</v>
      </c>
      <c r="C13" s="153">
        <f>VALUE(SunnyCentral!G75)</f>
        <v>0.5</v>
      </c>
      <c r="E13" s="157"/>
      <c r="N13" s="158"/>
    </row>
    <row r="14" spans="1:14">
      <c r="E14" s="157"/>
      <c r="F14">
        <v>0.02</v>
      </c>
      <c r="G14">
        <v>0.06</v>
      </c>
      <c r="H14">
        <v>0.1</v>
      </c>
      <c r="I14">
        <v>0.2</v>
      </c>
      <c r="J14">
        <v>0.4</v>
      </c>
      <c r="K14">
        <v>0.5</v>
      </c>
      <c r="L14">
        <v>0.9</v>
      </c>
      <c r="M14">
        <v>0.9</v>
      </c>
      <c r="N14" s="158">
        <v>30</v>
      </c>
    </row>
    <row r="15" spans="1:14">
      <c r="E15" s="159"/>
      <c r="F15" s="160">
        <v>1.3</v>
      </c>
      <c r="G15" s="160">
        <v>1.3</v>
      </c>
      <c r="H15" s="160">
        <v>1.26</v>
      </c>
      <c r="I15" s="160">
        <v>1.2250000000000001</v>
      </c>
      <c r="J15" s="160">
        <v>1.21</v>
      </c>
      <c r="K15" s="160">
        <v>1.19</v>
      </c>
      <c r="L15" s="160">
        <v>1.18</v>
      </c>
      <c r="M15" s="160">
        <v>1.1000000000000001</v>
      </c>
      <c r="N15" s="88">
        <v>1.1000000000000001</v>
      </c>
    </row>
    <row r="17" spans="1:14" ht="13.5" customHeight="1">
      <c r="E17" s="179" t="s">
        <v>327</v>
      </c>
      <c r="F17" s="155"/>
      <c r="G17" s="155"/>
      <c r="H17" s="155"/>
      <c r="I17" s="155">
        <v>5</v>
      </c>
      <c r="J17" s="155">
        <v>11</v>
      </c>
      <c r="K17" s="155">
        <v>11</v>
      </c>
      <c r="L17" s="156"/>
    </row>
    <row r="18" spans="1:14">
      <c r="E18" s="159"/>
      <c r="F18" s="160"/>
      <c r="G18" s="160"/>
      <c r="H18" s="160"/>
      <c r="I18" s="160">
        <v>0.7</v>
      </c>
      <c r="J18" s="160">
        <v>0.7</v>
      </c>
      <c r="K18" s="160">
        <v>0.8</v>
      </c>
      <c r="L18" s="88"/>
    </row>
    <row r="20" spans="1:14">
      <c r="E20" s="154" t="s">
        <v>330</v>
      </c>
      <c r="F20" s="155"/>
      <c r="G20" s="155"/>
      <c r="H20" s="155" t="s">
        <v>331</v>
      </c>
      <c r="I20" s="155"/>
      <c r="J20" s="155"/>
      <c r="K20" s="156"/>
    </row>
    <row r="21" spans="1:14">
      <c r="E21" s="157"/>
      <c r="F21">
        <v>0.01</v>
      </c>
      <c r="G21">
        <v>30</v>
      </c>
      <c r="I21">
        <v>0.01</v>
      </c>
      <c r="J21">
        <v>30</v>
      </c>
      <c r="K21" s="158"/>
    </row>
    <row r="22" spans="1:14">
      <c r="E22" s="157"/>
      <c r="F22">
        <f>SunnyCentral!G48+1</f>
        <v>1.25</v>
      </c>
      <c r="G22">
        <f>F22</f>
        <v>1.25</v>
      </c>
      <c r="I22">
        <f>SunnyCentral!G49+1</f>
        <v>1.25</v>
      </c>
      <c r="J22">
        <f>I22</f>
        <v>1.25</v>
      </c>
      <c r="K22" s="158"/>
    </row>
    <row r="23" spans="1:14">
      <c r="E23" s="157"/>
      <c r="K23" s="158"/>
    </row>
    <row r="24" spans="1:14">
      <c r="E24" s="157"/>
      <c r="F24">
        <v>0.01</v>
      </c>
      <c r="G24">
        <v>30</v>
      </c>
      <c r="I24">
        <v>0.01</v>
      </c>
      <c r="J24">
        <v>30</v>
      </c>
      <c r="K24" s="158"/>
    </row>
    <row r="25" spans="1:14">
      <c r="E25" s="159"/>
      <c r="F25" s="160">
        <f>1-SunnyCentral!G50</f>
        <v>0.75</v>
      </c>
      <c r="G25" s="160">
        <f>F25</f>
        <v>0.75</v>
      </c>
      <c r="H25" s="160"/>
      <c r="I25" s="160">
        <f>1-SunnyCentral!G51</f>
        <v>0.75</v>
      </c>
      <c r="J25" s="160">
        <f>I25</f>
        <v>0.75</v>
      </c>
      <c r="K25" s="88"/>
    </row>
    <row r="29" spans="1:14">
      <c r="A29" s="221"/>
      <c r="B29" s="221"/>
      <c r="C29" s="221"/>
      <c r="D29" s="221"/>
      <c r="E29" s="221"/>
      <c r="F29" s="221"/>
      <c r="G29" s="221"/>
      <c r="H29" s="221"/>
      <c r="I29" s="221"/>
      <c r="J29" s="221"/>
      <c r="K29" s="221"/>
      <c r="L29" s="221"/>
      <c r="M29" s="221"/>
      <c r="N29" s="221"/>
    </row>
    <row r="30" spans="1:14">
      <c r="A30" s="348" t="s">
        <v>502</v>
      </c>
      <c r="B30" s="349"/>
      <c r="C30" s="349"/>
      <c r="E30" s="154" t="s">
        <v>332</v>
      </c>
      <c r="F30" s="155"/>
      <c r="G30" s="155">
        <f>IF(C32=0,0.01,C32)</f>
        <v>0.01</v>
      </c>
      <c r="H30" s="155">
        <f>C34</f>
        <v>0.5</v>
      </c>
      <c r="I30" s="155">
        <f>C34</f>
        <v>0.5</v>
      </c>
      <c r="J30" s="155">
        <f>C36</f>
        <v>1</v>
      </c>
      <c r="K30" s="155">
        <f>C36</f>
        <v>1</v>
      </c>
      <c r="L30" s="156">
        <v>30</v>
      </c>
    </row>
    <row r="31" spans="1:14">
      <c r="A31" s="222" t="s">
        <v>51</v>
      </c>
      <c r="B31" s="222" t="s">
        <v>143</v>
      </c>
      <c r="C31" s="153">
        <f>VALUE(SunnyCentral!F64)</f>
        <v>1.32</v>
      </c>
      <c r="E31" s="157"/>
      <c r="G31">
        <f>C31</f>
        <v>1.32</v>
      </c>
      <c r="H31">
        <f>C31</f>
        <v>1.32</v>
      </c>
      <c r="I31">
        <f>C33</f>
        <v>1.22</v>
      </c>
      <c r="J31">
        <f>C33</f>
        <v>1.22</v>
      </c>
      <c r="K31">
        <f>C35</f>
        <v>1.1200000000000001</v>
      </c>
      <c r="L31" s="158">
        <f>C35</f>
        <v>1.1200000000000001</v>
      </c>
    </row>
    <row r="32" spans="1:14">
      <c r="A32" s="222" t="s">
        <v>52</v>
      </c>
      <c r="B32" s="222" t="s">
        <v>144</v>
      </c>
      <c r="C32" s="153">
        <f>VALUE(SunnyCentral!F65)</f>
        <v>0</v>
      </c>
      <c r="E32" s="157"/>
      <c r="F32">
        <f>C42</f>
        <v>0.5</v>
      </c>
      <c r="G32">
        <f>C42</f>
        <v>0.5</v>
      </c>
      <c r="H32">
        <f>C40</f>
        <v>2.1</v>
      </c>
      <c r="I32">
        <f>C40</f>
        <v>2.1</v>
      </c>
      <c r="J32">
        <f>C38</f>
        <v>10.5</v>
      </c>
      <c r="K32">
        <f>C38</f>
        <v>10.5</v>
      </c>
      <c r="L32" s="158">
        <v>30</v>
      </c>
    </row>
    <row r="33" spans="1:14">
      <c r="A33" s="222" t="s">
        <v>53</v>
      </c>
      <c r="B33" s="222" t="s">
        <v>145</v>
      </c>
      <c r="C33" s="153">
        <f>VALUE(SunnyCentral!F66)</f>
        <v>1.22</v>
      </c>
      <c r="E33" s="159"/>
      <c r="F33" s="160">
        <f>0</f>
        <v>0</v>
      </c>
      <c r="G33" s="160">
        <f>C41</f>
        <v>0.68</v>
      </c>
      <c r="H33" s="160">
        <f>C41</f>
        <v>0.68</v>
      </c>
      <c r="I33" s="160">
        <f>C39</f>
        <v>0.78</v>
      </c>
      <c r="J33" s="160">
        <f>C39</f>
        <v>0.78</v>
      </c>
      <c r="K33" s="160">
        <f>C37</f>
        <v>0.88</v>
      </c>
      <c r="L33" s="88">
        <f>C37</f>
        <v>0.88</v>
      </c>
    </row>
    <row r="34" spans="1:14">
      <c r="A34" s="222" t="s">
        <v>54</v>
      </c>
      <c r="B34" s="222" t="s">
        <v>146</v>
      </c>
      <c r="C34" s="153">
        <f>VALUE(SunnyCentral!F67)</f>
        <v>0.5</v>
      </c>
    </row>
    <row r="35" spans="1:14">
      <c r="A35" s="222" t="s">
        <v>55</v>
      </c>
      <c r="B35" s="222" t="s">
        <v>147</v>
      </c>
      <c r="C35" s="153">
        <f>VALUE(SunnyCentral!F68)</f>
        <v>1.1200000000000001</v>
      </c>
      <c r="E35" s="154" t="s">
        <v>325</v>
      </c>
      <c r="F35" s="155"/>
      <c r="G35" s="155">
        <v>0.01</v>
      </c>
      <c r="H35" s="155">
        <v>1</v>
      </c>
      <c r="I35" s="155">
        <v>1</v>
      </c>
      <c r="J35" s="155">
        <v>3</v>
      </c>
      <c r="K35" s="155">
        <v>3</v>
      </c>
      <c r="L35" s="156">
        <v>30</v>
      </c>
    </row>
    <row r="36" spans="1:14">
      <c r="A36" s="222" t="s">
        <v>56</v>
      </c>
      <c r="B36" s="222" t="s">
        <v>148</v>
      </c>
      <c r="C36" s="153">
        <f>VALUE(SunnyCentral!F69)</f>
        <v>1</v>
      </c>
      <c r="E36" s="157"/>
      <c r="G36">
        <v>1.4</v>
      </c>
      <c r="H36">
        <v>1.4</v>
      </c>
      <c r="I36">
        <v>1.3</v>
      </c>
      <c r="J36">
        <v>1.3</v>
      </c>
      <c r="K36">
        <v>1.2</v>
      </c>
      <c r="L36" s="158">
        <v>1.2</v>
      </c>
    </row>
    <row r="37" spans="1:14">
      <c r="A37" s="223" t="s">
        <v>57</v>
      </c>
      <c r="B37" s="223" t="s">
        <v>149</v>
      </c>
      <c r="C37" s="153">
        <f>VALUE(SunnyCentral!F70)</f>
        <v>0.88</v>
      </c>
      <c r="E37" s="157"/>
      <c r="G37">
        <v>0</v>
      </c>
      <c r="H37">
        <v>2</v>
      </c>
      <c r="I37">
        <v>2</v>
      </c>
      <c r="J37">
        <v>5</v>
      </c>
      <c r="K37">
        <v>5</v>
      </c>
      <c r="L37" s="158">
        <v>30</v>
      </c>
    </row>
    <row r="38" spans="1:14">
      <c r="A38" s="223" t="s">
        <v>58</v>
      </c>
      <c r="B38" s="223" t="s">
        <v>150</v>
      </c>
      <c r="C38" s="153">
        <f>VALUE(SunnyCentral!F71)</f>
        <v>10.5</v>
      </c>
      <c r="E38" s="159"/>
      <c r="F38" s="160"/>
      <c r="G38" s="160">
        <v>0</v>
      </c>
      <c r="H38" s="160">
        <v>0</v>
      </c>
      <c r="I38" s="160">
        <v>0.4</v>
      </c>
      <c r="J38" s="160">
        <v>0.4</v>
      </c>
      <c r="K38" s="160">
        <v>0.8</v>
      </c>
      <c r="L38" s="88">
        <v>0.8</v>
      </c>
    </row>
    <row r="39" spans="1:14">
      <c r="A39" s="223" t="s">
        <v>59</v>
      </c>
      <c r="B39" s="223" t="s">
        <v>151</v>
      </c>
      <c r="C39" s="153">
        <f>VALUE(SunnyCentral!F72)</f>
        <v>0.78</v>
      </c>
    </row>
    <row r="40" spans="1:14">
      <c r="A40" s="223" t="s">
        <v>60</v>
      </c>
      <c r="B40" s="223" t="s">
        <v>152</v>
      </c>
      <c r="C40" s="153">
        <f>VALUE(SunnyCentral!F73)</f>
        <v>2.1</v>
      </c>
      <c r="E40" s="154" t="s">
        <v>328</v>
      </c>
      <c r="F40" s="155">
        <v>0.43</v>
      </c>
      <c r="G40" s="155">
        <v>0.43</v>
      </c>
      <c r="H40" s="155">
        <v>2</v>
      </c>
      <c r="I40" s="155">
        <v>2</v>
      </c>
      <c r="J40" s="155">
        <v>10</v>
      </c>
      <c r="K40" s="155">
        <v>10</v>
      </c>
      <c r="L40" s="155">
        <v>30</v>
      </c>
      <c r="M40" s="155"/>
      <c r="N40" s="156"/>
    </row>
    <row r="41" spans="1:14">
      <c r="A41" s="223" t="s">
        <v>61</v>
      </c>
      <c r="B41" s="223" t="s">
        <v>153</v>
      </c>
      <c r="C41" s="153">
        <f>VALUE(SunnyCentral!F74)</f>
        <v>0.68</v>
      </c>
      <c r="E41" s="157"/>
      <c r="F41">
        <v>0</v>
      </c>
      <c r="G41">
        <v>0.7</v>
      </c>
      <c r="H41">
        <v>0.7</v>
      </c>
      <c r="I41">
        <v>0.8</v>
      </c>
      <c r="J41">
        <v>0.8</v>
      </c>
      <c r="K41">
        <v>0.9</v>
      </c>
      <c r="L41">
        <v>0.9</v>
      </c>
      <c r="N41" s="158"/>
    </row>
    <row r="42" spans="1:14">
      <c r="A42" s="223" t="s">
        <v>62</v>
      </c>
      <c r="B42" s="223" t="s">
        <v>154</v>
      </c>
      <c r="C42" s="153">
        <f>VALUE(SunnyCentral!F75)</f>
        <v>0.5</v>
      </c>
      <c r="E42" s="157"/>
      <c r="N42" s="158"/>
    </row>
    <row r="43" spans="1:14">
      <c r="E43" s="157"/>
      <c r="F43">
        <v>0.02</v>
      </c>
      <c r="G43">
        <v>0.06</v>
      </c>
      <c r="H43">
        <v>0.1</v>
      </c>
      <c r="I43">
        <v>0.2</v>
      </c>
      <c r="J43">
        <v>0.4</v>
      </c>
      <c r="K43">
        <v>0.5</v>
      </c>
      <c r="L43">
        <v>0.9</v>
      </c>
      <c r="M43">
        <v>0.9</v>
      </c>
      <c r="N43" s="158">
        <v>30</v>
      </c>
    </row>
    <row r="44" spans="1:14">
      <c r="E44" s="159"/>
      <c r="F44" s="160">
        <v>1.3</v>
      </c>
      <c r="G44" s="160">
        <v>1.3</v>
      </c>
      <c r="H44" s="160">
        <v>1.26</v>
      </c>
      <c r="I44" s="160">
        <v>1.2250000000000001</v>
      </c>
      <c r="J44" s="160">
        <v>1.21</v>
      </c>
      <c r="K44" s="160">
        <v>1.19</v>
      </c>
      <c r="L44" s="160">
        <v>1.18</v>
      </c>
      <c r="M44" s="160">
        <v>1.1000000000000001</v>
      </c>
      <c r="N44" s="88">
        <v>1.1000000000000001</v>
      </c>
    </row>
    <row r="46" spans="1:14" ht="14.25" customHeight="1">
      <c r="E46" s="224" t="s">
        <v>327</v>
      </c>
      <c r="F46" s="155"/>
      <c r="G46" s="155"/>
      <c r="H46" s="155"/>
      <c r="I46" s="155">
        <v>5</v>
      </c>
      <c r="J46" s="155">
        <v>11</v>
      </c>
      <c r="K46" s="155">
        <v>11</v>
      </c>
      <c r="L46" s="156"/>
    </row>
    <row r="47" spans="1:14">
      <c r="E47" s="159"/>
      <c r="F47" s="160"/>
      <c r="G47" s="160"/>
      <c r="H47" s="160"/>
      <c r="I47" s="160">
        <v>0.7</v>
      </c>
      <c r="J47" s="160">
        <v>0.7</v>
      </c>
      <c r="K47" s="160">
        <v>0.8</v>
      </c>
      <c r="L47" s="88"/>
    </row>
    <row r="49" spans="1:12">
      <c r="E49" s="154" t="s">
        <v>330</v>
      </c>
      <c r="F49" s="155"/>
      <c r="G49" s="155"/>
      <c r="H49" s="155" t="s">
        <v>331</v>
      </c>
      <c r="I49" s="155"/>
      <c r="J49" s="155"/>
      <c r="K49" s="156"/>
    </row>
    <row r="50" spans="1:12">
      <c r="E50" s="157"/>
      <c r="F50">
        <v>0.01</v>
      </c>
      <c r="G50">
        <v>30</v>
      </c>
      <c r="I50">
        <v>0.01</v>
      </c>
      <c r="J50">
        <v>30</v>
      </c>
      <c r="K50" s="158"/>
    </row>
    <row r="51" spans="1:12">
      <c r="E51" s="157"/>
      <c r="F51" s="153">
        <f>SunnyCentral!F48+1</f>
        <v>1.25</v>
      </c>
      <c r="G51">
        <f>F51</f>
        <v>1.25</v>
      </c>
      <c r="I51" s="153">
        <f>SunnyCentral!F49+1</f>
        <v>1.25</v>
      </c>
      <c r="J51">
        <f>I51</f>
        <v>1.25</v>
      </c>
      <c r="K51" s="158"/>
    </row>
    <row r="52" spans="1:12">
      <c r="E52" s="157"/>
      <c r="K52" s="158"/>
    </row>
    <row r="53" spans="1:12">
      <c r="E53" s="157"/>
      <c r="F53">
        <v>0.01</v>
      </c>
      <c r="G53">
        <v>30</v>
      </c>
      <c r="I53">
        <v>0.01</v>
      </c>
      <c r="J53">
        <v>30</v>
      </c>
      <c r="K53" s="158"/>
    </row>
    <row r="54" spans="1:12">
      <c r="E54" s="159"/>
      <c r="F54" s="225">
        <f>1-SunnyCentral!F50</f>
        <v>0.75</v>
      </c>
      <c r="G54" s="160">
        <f>F54</f>
        <v>0.75</v>
      </c>
      <c r="H54" s="160"/>
      <c r="I54" s="225">
        <f>1-SunnyCentral!F51</f>
        <v>0.75</v>
      </c>
      <c r="J54" s="160">
        <f>I54</f>
        <v>0.75</v>
      </c>
      <c r="K54" s="88"/>
    </row>
    <row r="60" spans="1:12">
      <c r="A60" s="348" t="s">
        <v>503</v>
      </c>
      <c r="B60" s="349"/>
      <c r="C60" s="349"/>
      <c r="E60" s="154" t="s">
        <v>332</v>
      </c>
      <c r="F60" s="155"/>
      <c r="G60" s="155">
        <f>IF(C62=0,0.01,C62)</f>
        <v>0.01</v>
      </c>
      <c r="H60" s="155">
        <f>C64</f>
        <v>0.5</v>
      </c>
      <c r="I60" s="155">
        <f>C64</f>
        <v>0.5</v>
      </c>
      <c r="J60" s="155">
        <f>C66</f>
        <v>1</v>
      </c>
      <c r="K60" s="155">
        <f>C66</f>
        <v>1</v>
      </c>
      <c r="L60" s="156">
        <v>30</v>
      </c>
    </row>
    <row r="61" spans="1:12">
      <c r="A61" s="222" t="s">
        <v>51</v>
      </c>
      <c r="B61" s="222" t="s">
        <v>143</v>
      </c>
      <c r="C61" s="153">
        <f>VALUE(SunnyCentral!H64)</f>
        <v>1.32</v>
      </c>
      <c r="E61" s="157"/>
      <c r="G61">
        <f>C61</f>
        <v>1.32</v>
      </c>
      <c r="H61">
        <f>C61</f>
        <v>1.32</v>
      </c>
      <c r="I61">
        <f>C63</f>
        <v>1.22</v>
      </c>
      <c r="J61">
        <f>C63</f>
        <v>1.22</v>
      </c>
      <c r="K61">
        <f>C65</f>
        <v>1.1200000000000001</v>
      </c>
      <c r="L61" s="158">
        <f>C65</f>
        <v>1.1200000000000001</v>
      </c>
    </row>
    <row r="62" spans="1:12">
      <c r="A62" s="222" t="s">
        <v>52</v>
      </c>
      <c r="B62" s="222" t="s">
        <v>144</v>
      </c>
      <c r="C62" s="153">
        <f>VALUE(SunnyCentral!H65)</f>
        <v>0</v>
      </c>
      <c r="E62" s="157"/>
      <c r="F62">
        <f>C72</f>
        <v>0.5</v>
      </c>
      <c r="G62">
        <f>C72</f>
        <v>0.5</v>
      </c>
      <c r="H62">
        <f>C70</f>
        <v>2.1</v>
      </c>
      <c r="I62">
        <f>C70</f>
        <v>2.1</v>
      </c>
      <c r="J62">
        <f>C68</f>
        <v>10.5</v>
      </c>
      <c r="K62">
        <f>C68</f>
        <v>10.5</v>
      </c>
      <c r="L62" s="158">
        <v>30</v>
      </c>
    </row>
    <row r="63" spans="1:12">
      <c r="A63" s="222" t="s">
        <v>53</v>
      </c>
      <c r="B63" s="222" t="s">
        <v>145</v>
      </c>
      <c r="C63" s="153">
        <f>VALUE(SunnyCentral!H66)</f>
        <v>1.22</v>
      </c>
      <c r="E63" s="159"/>
      <c r="F63" s="160">
        <f>0</f>
        <v>0</v>
      </c>
      <c r="G63" s="160">
        <f>C71</f>
        <v>0.68</v>
      </c>
      <c r="H63" s="160">
        <f>C71</f>
        <v>0.68</v>
      </c>
      <c r="I63" s="160">
        <f>C69</f>
        <v>0.78</v>
      </c>
      <c r="J63" s="160">
        <f>C69</f>
        <v>0.78</v>
      </c>
      <c r="K63" s="160">
        <f>C67</f>
        <v>0.88</v>
      </c>
      <c r="L63" s="88">
        <f>C67</f>
        <v>0.88</v>
      </c>
    </row>
    <row r="64" spans="1:12">
      <c r="A64" s="222" t="s">
        <v>54</v>
      </c>
      <c r="B64" s="222" t="s">
        <v>146</v>
      </c>
      <c r="C64" s="153">
        <f>VALUE(SunnyCentral!H67)</f>
        <v>0.5</v>
      </c>
    </row>
    <row r="65" spans="1:14">
      <c r="A65" s="222" t="s">
        <v>55</v>
      </c>
      <c r="B65" s="222" t="s">
        <v>147</v>
      </c>
      <c r="C65" s="153">
        <f>VALUE(SunnyCentral!H68)</f>
        <v>1.1200000000000001</v>
      </c>
      <c r="E65" s="154" t="s">
        <v>325</v>
      </c>
      <c r="F65" s="155"/>
      <c r="G65" s="155">
        <v>0.01</v>
      </c>
      <c r="H65" s="155">
        <v>1</v>
      </c>
      <c r="I65" s="155">
        <v>1</v>
      </c>
      <c r="J65" s="155">
        <v>3</v>
      </c>
      <c r="K65" s="155">
        <v>3</v>
      </c>
      <c r="L65" s="156">
        <v>30</v>
      </c>
    </row>
    <row r="66" spans="1:14">
      <c r="A66" s="222" t="s">
        <v>56</v>
      </c>
      <c r="B66" s="222" t="s">
        <v>148</v>
      </c>
      <c r="C66" s="153">
        <f>VALUE(SunnyCentral!H69)</f>
        <v>1</v>
      </c>
      <c r="E66" s="157"/>
      <c r="G66">
        <v>1.4</v>
      </c>
      <c r="H66">
        <v>1.4</v>
      </c>
      <c r="I66">
        <v>1.3</v>
      </c>
      <c r="J66">
        <v>1.3</v>
      </c>
      <c r="K66">
        <v>1.2</v>
      </c>
      <c r="L66" s="158">
        <v>1.2</v>
      </c>
    </row>
    <row r="67" spans="1:14">
      <c r="A67" s="223" t="s">
        <v>57</v>
      </c>
      <c r="B67" s="223" t="s">
        <v>149</v>
      </c>
      <c r="C67" s="153">
        <f>VALUE(SunnyCentral!H70)</f>
        <v>0.88</v>
      </c>
      <c r="E67" s="157"/>
      <c r="G67">
        <v>0</v>
      </c>
      <c r="H67">
        <v>2</v>
      </c>
      <c r="I67">
        <v>2</v>
      </c>
      <c r="J67">
        <v>5</v>
      </c>
      <c r="K67">
        <v>5</v>
      </c>
      <c r="L67" s="158">
        <v>30</v>
      </c>
    </row>
    <row r="68" spans="1:14">
      <c r="A68" s="223" t="s">
        <v>58</v>
      </c>
      <c r="B68" s="223" t="s">
        <v>150</v>
      </c>
      <c r="C68" s="153">
        <f>VALUE(SunnyCentral!H71)</f>
        <v>10.5</v>
      </c>
      <c r="E68" s="159"/>
      <c r="F68" s="160"/>
      <c r="G68" s="160">
        <v>0</v>
      </c>
      <c r="H68" s="160">
        <v>0</v>
      </c>
      <c r="I68" s="160">
        <v>0.4</v>
      </c>
      <c r="J68" s="160">
        <v>0.4</v>
      </c>
      <c r="K68" s="160">
        <v>0.8</v>
      </c>
      <c r="L68" s="88">
        <v>0.8</v>
      </c>
    </row>
    <row r="69" spans="1:14">
      <c r="A69" s="223" t="s">
        <v>59</v>
      </c>
      <c r="B69" s="223" t="s">
        <v>151</v>
      </c>
      <c r="C69" s="153">
        <f>VALUE(SunnyCentral!H72)</f>
        <v>0.78</v>
      </c>
    </row>
    <row r="70" spans="1:14">
      <c r="A70" s="223" t="s">
        <v>60</v>
      </c>
      <c r="B70" s="223" t="s">
        <v>152</v>
      </c>
      <c r="C70" s="153">
        <f>VALUE(SunnyCentral!H73)</f>
        <v>2.1</v>
      </c>
      <c r="E70" s="154" t="s">
        <v>328</v>
      </c>
      <c r="F70" s="155">
        <v>0.43</v>
      </c>
      <c r="G70" s="155">
        <v>0.43</v>
      </c>
      <c r="H70" s="155">
        <v>2</v>
      </c>
      <c r="I70" s="155">
        <v>2</v>
      </c>
      <c r="J70" s="155">
        <v>10</v>
      </c>
      <c r="K70" s="155">
        <v>10</v>
      </c>
      <c r="L70" s="155">
        <v>30</v>
      </c>
      <c r="M70" s="155"/>
      <c r="N70" s="156"/>
    </row>
    <row r="71" spans="1:14">
      <c r="A71" s="223" t="s">
        <v>61</v>
      </c>
      <c r="B71" s="223" t="s">
        <v>153</v>
      </c>
      <c r="C71" s="153">
        <f>VALUE(SunnyCentral!H74)</f>
        <v>0.68</v>
      </c>
      <c r="E71" s="157"/>
      <c r="F71">
        <v>0</v>
      </c>
      <c r="G71">
        <v>0.7</v>
      </c>
      <c r="H71">
        <v>0.7</v>
      </c>
      <c r="I71">
        <v>0.8</v>
      </c>
      <c r="J71">
        <v>0.8</v>
      </c>
      <c r="K71">
        <v>0.9</v>
      </c>
      <c r="L71">
        <v>0.9</v>
      </c>
      <c r="N71" s="158"/>
    </row>
    <row r="72" spans="1:14">
      <c r="A72" s="223" t="s">
        <v>62</v>
      </c>
      <c r="B72" s="223" t="s">
        <v>154</v>
      </c>
      <c r="C72" s="153">
        <f>VALUE(SunnyCentral!H75)</f>
        <v>0.5</v>
      </c>
      <c r="E72" s="157"/>
      <c r="N72" s="158"/>
    </row>
    <row r="73" spans="1:14">
      <c r="E73" s="157"/>
      <c r="F73">
        <v>0.02</v>
      </c>
      <c r="G73">
        <v>0.06</v>
      </c>
      <c r="H73">
        <v>0.1</v>
      </c>
      <c r="I73">
        <v>0.2</v>
      </c>
      <c r="J73">
        <v>0.4</v>
      </c>
      <c r="K73">
        <v>0.5</v>
      </c>
      <c r="L73">
        <v>0.9</v>
      </c>
      <c r="M73">
        <v>0.9</v>
      </c>
      <c r="N73" s="158">
        <v>30</v>
      </c>
    </row>
    <row r="74" spans="1:14">
      <c r="E74" s="159"/>
      <c r="F74" s="160">
        <v>1.3</v>
      </c>
      <c r="G74" s="160">
        <v>1.3</v>
      </c>
      <c r="H74" s="160">
        <v>1.26</v>
      </c>
      <c r="I74" s="160">
        <v>1.2250000000000001</v>
      </c>
      <c r="J74" s="160">
        <v>1.21</v>
      </c>
      <c r="K74" s="160">
        <v>1.19</v>
      </c>
      <c r="L74" s="160">
        <v>1.18</v>
      </c>
      <c r="M74" s="160">
        <v>1.1000000000000001</v>
      </c>
      <c r="N74" s="88">
        <v>1.1000000000000001</v>
      </c>
    </row>
    <row r="76" spans="1:14" ht="15.75" customHeight="1">
      <c r="E76" s="224" t="s">
        <v>327</v>
      </c>
      <c r="F76" s="155"/>
      <c r="G76" s="155"/>
      <c r="H76" s="155"/>
      <c r="I76" s="155">
        <v>5</v>
      </c>
      <c r="J76" s="155">
        <v>11</v>
      </c>
      <c r="K76" s="155">
        <v>11</v>
      </c>
      <c r="L76" s="156"/>
    </row>
    <row r="77" spans="1:14">
      <c r="E77" s="159"/>
      <c r="F77" s="160"/>
      <c r="G77" s="160"/>
      <c r="H77" s="160"/>
      <c r="I77" s="160">
        <v>0.7</v>
      </c>
      <c r="J77" s="160">
        <v>0.7</v>
      </c>
      <c r="K77" s="160">
        <v>0.8</v>
      </c>
      <c r="L77" s="88"/>
    </row>
    <row r="79" spans="1:14">
      <c r="E79" s="154" t="s">
        <v>330</v>
      </c>
      <c r="F79" s="155"/>
      <c r="G79" s="155"/>
      <c r="H79" s="155" t="s">
        <v>331</v>
      </c>
      <c r="I79" s="155"/>
      <c r="J79" s="155"/>
      <c r="K79" s="156"/>
    </row>
    <row r="80" spans="1:14">
      <c r="E80" s="157"/>
      <c r="F80">
        <v>0.01</v>
      </c>
      <c r="G80">
        <v>30</v>
      </c>
      <c r="I80">
        <v>0.01</v>
      </c>
      <c r="J80">
        <v>30</v>
      </c>
      <c r="K80" s="158"/>
    </row>
    <row r="81" spans="5:11">
      <c r="E81" s="157"/>
      <c r="F81" s="153">
        <f>SunnyCentral!H48+1</f>
        <v>1.25</v>
      </c>
      <c r="G81">
        <f>F81</f>
        <v>1.25</v>
      </c>
      <c r="I81" s="153">
        <f>SunnyCentral!H49+1</f>
        <v>1.25</v>
      </c>
      <c r="J81">
        <f>I81</f>
        <v>1.25</v>
      </c>
      <c r="K81" s="158"/>
    </row>
    <row r="82" spans="5:11">
      <c r="E82" s="157"/>
      <c r="K82" s="158"/>
    </row>
    <row r="83" spans="5:11">
      <c r="E83" s="157"/>
      <c r="F83">
        <v>0.01</v>
      </c>
      <c r="G83">
        <v>30</v>
      </c>
      <c r="I83">
        <v>0.01</v>
      </c>
      <c r="J83">
        <v>30</v>
      </c>
      <c r="K83" s="158"/>
    </row>
    <row r="84" spans="5:11">
      <c r="E84" s="159"/>
      <c r="F84" s="225">
        <f>1-SunnyCentral!H50</f>
        <v>0.75</v>
      </c>
      <c r="G84" s="160">
        <f>F84</f>
        <v>0.75</v>
      </c>
      <c r="H84" s="160"/>
      <c r="I84" s="225">
        <f>1-SunnyCentral!H51</f>
        <v>0.75</v>
      </c>
      <c r="J84" s="160">
        <f>I84</f>
        <v>0.75</v>
      </c>
      <c r="K84" s="88"/>
    </row>
  </sheetData>
  <mergeCells count="3">
    <mergeCell ref="A30:C30"/>
    <mergeCell ref="A1:C1"/>
    <mergeCell ref="A60:C60"/>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
  <sheetViews>
    <sheetView workbookViewId="0">
      <selection activeCell="A11" sqref="A11"/>
    </sheetView>
  </sheetViews>
  <sheetFormatPr defaultColWidth="9.140625" defaultRowHeight="1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4" r:id="rId3" name="Button 2">
              <controlPr defaultSize="0" print="0" autoFill="0" autoPict="0" macro="[0]!RecommendedVoltSettingsChart">
                <anchor moveWithCells="1" sizeWithCells="1">
                  <from>
                    <xdr:col>1</xdr:col>
                    <xdr:colOff>0</xdr:colOff>
                    <xdr:row>0</xdr:row>
                    <xdr:rowOff>171450</xdr:rowOff>
                  </from>
                  <to>
                    <xdr:col>3</xdr:col>
                    <xdr:colOff>266700</xdr:colOff>
                    <xdr:row>7</xdr:row>
                    <xdr:rowOff>47625</xdr:rowOff>
                  </to>
                </anchor>
              </controlPr>
            </control>
          </mc:Choice>
        </mc:AlternateContent>
        <mc:AlternateContent xmlns:mc="http://schemas.openxmlformats.org/markup-compatibility/2006">
          <mc:Choice Requires="x14">
            <control shapeId="18436" r:id="rId4" name="Button 4">
              <controlPr defaultSize="0" print="0" autoFill="0" autoPict="0" macro="[0]!CustomerVoltSettingsChart">
                <anchor moveWithCells="1" sizeWithCells="1">
                  <from>
                    <xdr:col>1</xdr:col>
                    <xdr:colOff>9525</xdr:colOff>
                    <xdr:row>7</xdr:row>
                    <xdr:rowOff>180975</xdr:rowOff>
                  </from>
                  <to>
                    <xdr:col>3</xdr:col>
                    <xdr:colOff>314325</xdr:colOff>
                    <xdr:row>14</xdr:row>
                    <xdr:rowOff>76200</xdr:rowOff>
                  </to>
                </anchor>
              </controlPr>
            </control>
          </mc:Choice>
        </mc:AlternateContent>
        <mc:AlternateContent xmlns:mc="http://schemas.openxmlformats.org/markup-compatibility/2006">
          <mc:Choice Requires="x14">
            <control shapeId="18439" r:id="rId5" name="Button 7">
              <controlPr defaultSize="0" print="0" autoFill="0" autoPict="0" macro="[0]!ImportedVoltSettingsChart">
                <anchor moveWithCells="1" sizeWithCells="1">
                  <from>
                    <xdr:col>1</xdr:col>
                    <xdr:colOff>0</xdr:colOff>
                    <xdr:row>15</xdr:row>
                    <xdr:rowOff>133350</xdr:rowOff>
                  </from>
                  <to>
                    <xdr:col>3</xdr:col>
                    <xdr:colOff>304800</xdr:colOff>
                    <xdr:row>22</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K49"/>
  <sheetViews>
    <sheetView workbookViewId="0">
      <selection activeCell="J35" sqref="J35"/>
    </sheetView>
  </sheetViews>
  <sheetFormatPr defaultColWidth="9.140625" defaultRowHeight="15"/>
  <cols>
    <col min="1" max="1" width="4.7109375" bestFit="1" customWidth="1"/>
    <col min="2" max="2" width="13.85546875" bestFit="1" customWidth="1"/>
  </cols>
  <sheetData>
    <row r="1" spans="1:11" ht="15.75" thickBot="1">
      <c r="A1" s="351" t="s">
        <v>504</v>
      </c>
      <c r="B1" s="351"/>
      <c r="C1" s="351"/>
      <c r="E1" s="154" t="s">
        <v>332</v>
      </c>
      <c r="F1" s="155">
        <f>IF(C3=0,0.01,C3)</f>
        <v>0.01</v>
      </c>
      <c r="G1" s="155">
        <f>C5</f>
        <v>120</v>
      </c>
      <c r="H1" s="155">
        <f>C5</f>
        <v>120</v>
      </c>
      <c r="I1" s="155">
        <f>C7</f>
        <v>600</v>
      </c>
      <c r="J1" s="155">
        <f>C7</f>
        <v>600</v>
      </c>
      <c r="K1" s="156">
        <v>1000</v>
      </c>
    </row>
    <row r="2" spans="1:11">
      <c r="A2" s="75" t="s">
        <v>63</v>
      </c>
      <c r="B2" s="75" t="s">
        <v>158</v>
      </c>
      <c r="C2" s="153">
        <f>VALUE(SunnyCentral!F76)</f>
        <v>52</v>
      </c>
      <c r="E2" s="157"/>
      <c r="F2">
        <f>C2</f>
        <v>52</v>
      </c>
      <c r="G2">
        <f>C2</f>
        <v>52</v>
      </c>
      <c r="H2">
        <f>C4</f>
        <v>51</v>
      </c>
      <c r="I2">
        <f>C4</f>
        <v>51</v>
      </c>
      <c r="J2">
        <f>C6</f>
        <v>50.5</v>
      </c>
      <c r="K2" s="158">
        <f>C6</f>
        <v>50.5</v>
      </c>
    </row>
    <row r="3" spans="1:11">
      <c r="A3" s="24" t="s">
        <v>64</v>
      </c>
      <c r="B3" s="24" t="s">
        <v>159</v>
      </c>
      <c r="C3" s="153">
        <f>VALUE(SunnyCentral!F77)</f>
        <v>0</v>
      </c>
      <c r="E3" s="157"/>
      <c r="K3" s="158"/>
    </row>
    <row r="4" spans="1:11">
      <c r="A4" s="24" t="s">
        <v>65</v>
      </c>
      <c r="B4" s="24" t="s">
        <v>133</v>
      </c>
      <c r="C4" s="153">
        <f>VALUE(SunnyCentral!F78)</f>
        <v>51</v>
      </c>
      <c r="E4" s="157"/>
      <c r="F4">
        <f>IF(C13=0,0.01, C13)</f>
        <v>0.01</v>
      </c>
      <c r="G4">
        <f>C11</f>
        <v>120</v>
      </c>
      <c r="H4">
        <f>C11</f>
        <v>120</v>
      </c>
      <c r="I4">
        <f>IF(C9=0,0.01,C9)</f>
        <v>600</v>
      </c>
      <c r="J4">
        <f>IF(C9=0,0.01,C9)</f>
        <v>600</v>
      </c>
      <c r="K4" s="158">
        <v>1000</v>
      </c>
    </row>
    <row r="5" spans="1:11">
      <c r="A5" s="24" t="s">
        <v>66</v>
      </c>
      <c r="B5" s="24" t="s">
        <v>134</v>
      </c>
      <c r="C5" s="153">
        <f>VALUE(SunnyCentral!F79)</f>
        <v>120</v>
      </c>
      <c r="E5" s="159"/>
      <c r="F5" s="160">
        <f>C12</f>
        <v>47</v>
      </c>
      <c r="G5" s="160">
        <f>C12</f>
        <v>47</v>
      </c>
      <c r="H5" s="160">
        <f>C10</f>
        <v>49</v>
      </c>
      <c r="I5" s="160">
        <f>C10</f>
        <v>49</v>
      </c>
      <c r="J5" s="160">
        <f>C8</f>
        <v>49.5</v>
      </c>
      <c r="K5" s="88">
        <f>C8</f>
        <v>49.5</v>
      </c>
    </row>
    <row r="6" spans="1:11">
      <c r="A6" s="24" t="s">
        <v>67</v>
      </c>
      <c r="B6" s="24" t="s">
        <v>135</v>
      </c>
      <c r="C6" s="153">
        <f>VALUE(SunnyCentral!F80)</f>
        <v>50.5</v>
      </c>
    </row>
    <row r="7" spans="1:11" ht="15.75" thickBot="1">
      <c r="A7" s="76" t="s">
        <v>68</v>
      </c>
      <c r="B7" s="76" t="s">
        <v>136</v>
      </c>
      <c r="C7" s="153">
        <f>VALUE(SunnyCentral!F81)</f>
        <v>600</v>
      </c>
      <c r="E7" s="154" t="s">
        <v>325</v>
      </c>
      <c r="F7" s="155"/>
      <c r="G7" s="155">
        <v>0.01</v>
      </c>
      <c r="H7" s="155">
        <v>60</v>
      </c>
      <c r="I7" s="155">
        <v>60</v>
      </c>
      <c r="J7" s="155">
        <v>1000</v>
      </c>
      <c r="K7" s="156"/>
    </row>
    <row r="8" spans="1:11">
      <c r="A8" s="74" t="s">
        <v>69</v>
      </c>
      <c r="B8" s="74" t="s">
        <v>137</v>
      </c>
      <c r="C8" s="153">
        <f>VALUE(SunnyCentral!F82)</f>
        <v>49.5</v>
      </c>
      <c r="E8" s="157"/>
      <c r="G8">
        <v>55</v>
      </c>
      <c r="H8">
        <v>55</v>
      </c>
      <c r="I8">
        <v>53</v>
      </c>
      <c r="J8">
        <v>53</v>
      </c>
      <c r="K8" s="158"/>
    </row>
    <row r="9" spans="1:11">
      <c r="A9" s="31" t="s">
        <v>70</v>
      </c>
      <c r="B9" s="31" t="s">
        <v>138</v>
      </c>
      <c r="C9" s="153">
        <f>VALUE(SunnyCentral!F83)</f>
        <v>600</v>
      </c>
      <c r="E9" s="157"/>
      <c r="K9" s="158"/>
    </row>
    <row r="10" spans="1:11">
      <c r="A10" s="31" t="s">
        <v>71</v>
      </c>
      <c r="B10" s="31" t="s">
        <v>139</v>
      </c>
      <c r="C10" s="153">
        <f>VALUE(SunnyCentral!F84)</f>
        <v>49</v>
      </c>
      <c r="E10" s="157"/>
      <c r="G10">
        <v>0.01</v>
      </c>
      <c r="H10">
        <v>60</v>
      </c>
      <c r="I10">
        <v>60</v>
      </c>
      <c r="J10">
        <v>1000</v>
      </c>
      <c r="K10" s="158"/>
    </row>
    <row r="11" spans="1:11">
      <c r="A11" s="31" t="s">
        <v>72</v>
      </c>
      <c r="B11" s="31" t="s">
        <v>140</v>
      </c>
      <c r="C11" s="153">
        <f>VALUE(SunnyCentral!F85)</f>
        <v>120</v>
      </c>
      <c r="E11" s="159"/>
      <c r="F11" s="160"/>
      <c r="G11" s="160">
        <v>45</v>
      </c>
      <c r="H11" s="160">
        <v>45</v>
      </c>
      <c r="I11" s="160">
        <v>47</v>
      </c>
      <c r="J11" s="160">
        <v>47</v>
      </c>
      <c r="K11" s="88"/>
    </row>
    <row r="12" spans="1:11">
      <c r="A12" s="31" t="s">
        <v>73</v>
      </c>
      <c r="B12" s="31" t="s">
        <v>141</v>
      </c>
      <c r="C12" s="153">
        <f>VALUE(SunnyCentral!F86)</f>
        <v>47</v>
      </c>
    </row>
    <row r="13" spans="1:11" ht="15.75" thickBot="1">
      <c r="A13" s="31" t="s">
        <v>74</v>
      </c>
      <c r="B13" s="73" t="s">
        <v>142</v>
      </c>
      <c r="C13" s="153">
        <f>VALUE(SunnyCentral!F87)</f>
        <v>0</v>
      </c>
      <c r="E13" s="154" t="s">
        <v>326</v>
      </c>
      <c r="F13" s="155">
        <v>0.01</v>
      </c>
      <c r="G13" s="155">
        <v>120</v>
      </c>
      <c r="H13" s="155">
        <v>120</v>
      </c>
      <c r="I13" s="155">
        <v>600</v>
      </c>
      <c r="J13" s="155">
        <v>600</v>
      </c>
      <c r="K13" s="156">
        <v>1000</v>
      </c>
    </row>
    <row r="14" spans="1:11">
      <c r="E14" s="157"/>
      <c r="F14">
        <v>52</v>
      </c>
      <c r="G14">
        <v>52</v>
      </c>
      <c r="H14">
        <v>51</v>
      </c>
      <c r="I14">
        <v>51</v>
      </c>
      <c r="J14">
        <v>50.5</v>
      </c>
      <c r="K14" s="158">
        <v>50.5</v>
      </c>
    </row>
    <row r="15" spans="1:11">
      <c r="E15" s="157"/>
      <c r="K15" s="158"/>
    </row>
    <row r="16" spans="1:11">
      <c r="E16" s="157"/>
      <c r="F16">
        <v>0.01</v>
      </c>
      <c r="G16">
        <v>120</v>
      </c>
      <c r="H16">
        <v>120</v>
      </c>
      <c r="I16">
        <v>600</v>
      </c>
      <c r="J16">
        <v>600</v>
      </c>
      <c r="K16" s="158">
        <v>1000</v>
      </c>
    </row>
    <row r="17" spans="1:11">
      <c r="E17" s="159"/>
      <c r="F17" s="160">
        <v>47</v>
      </c>
      <c r="G17" s="160">
        <v>47</v>
      </c>
      <c r="H17" s="160">
        <v>49</v>
      </c>
      <c r="I17" s="160">
        <v>49</v>
      </c>
      <c r="J17" s="160">
        <v>49.5</v>
      </c>
      <c r="K17" s="88">
        <v>49.5</v>
      </c>
    </row>
    <row r="19" spans="1:11" ht="15.75" thickBot="1">
      <c r="A19" s="351" t="s">
        <v>505</v>
      </c>
      <c r="B19" s="351"/>
      <c r="C19" s="351"/>
    </row>
    <row r="20" spans="1:11">
      <c r="A20" s="75" t="s">
        <v>63</v>
      </c>
      <c r="B20" s="75" t="s">
        <v>158</v>
      </c>
      <c r="C20" s="153">
        <f>VALUE(SunnyCentral!G76)</f>
        <v>52</v>
      </c>
      <c r="E20" s="154" t="s">
        <v>332</v>
      </c>
      <c r="F20" s="155">
        <f>IF(C21=0,0.01,C21)</f>
        <v>0.01</v>
      </c>
      <c r="G20" s="226">
        <f>C23</f>
        <v>120</v>
      </c>
      <c r="H20" s="226">
        <f>C23</f>
        <v>120</v>
      </c>
      <c r="I20" s="226">
        <f>C25</f>
        <v>600</v>
      </c>
      <c r="J20" s="226">
        <f>C25</f>
        <v>600</v>
      </c>
      <c r="K20" s="156">
        <v>1000</v>
      </c>
    </row>
    <row r="21" spans="1:11">
      <c r="A21" s="24" t="s">
        <v>64</v>
      </c>
      <c r="B21" s="24" t="s">
        <v>159</v>
      </c>
      <c r="C21" s="153">
        <f>VALUE(SunnyCentral!G77)</f>
        <v>0</v>
      </c>
      <c r="E21" s="157"/>
      <c r="F21" s="153">
        <f>C20</f>
        <v>52</v>
      </c>
      <c r="G21" s="153">
        <f>C20</f>
        <v>52</v>
      </c>
      <c r="H21" s="153">
        <f>C22</f>
        <v>51</v>
      </c>
      <c r="I21" s="153">
        <f>C22</f>
        <v>51</v>
      </c>
      <c r="J21" s="153">
        <f>C24</f>
        <v>50.5</v>
      </c>
      <c r="K21" s="228">
        <f>C24</f>
        <v>50.5</v>
      </c>
    </row>
    <row r="22" spans="1:11">
      <c r="A22" s="24" t="s">
        <v>65</v>
      </c>
      <c r="B22" s="24" t="s">
        <v>133</v>
      </c>
      <c r="C22" s="153">
        <f>VALUE(SunnyCentral!G78)</f>
        <v>51</v>
      </c>
      <c r="E22" s="157"/>
      <c r="K22" s="158"/>
    </row>
    <row r="23" spans="1:11">
      <c r="A23" s="24" t="s">
        <v>66</v>
      </c>
      <c r="B23" s="24" t="s">
        <v>134</v>
      </c>
      <c r="C23" s="153">
        <f>VALUE(SunnyCentral!G79)</f>
        <v>120</v>
      </c>
      <c r="E23" s="157"/>
      <c r="F23">
        <f>IF(C31=0,0.01, C31)</f>
        <v>0.01</v>
      </c>
      <c r="G23" s="153">
        <f>C29</f>
        <v>120</v>
      </c>
      <c r="H23" s="153">
        <f>C29</f>
        <v>120</v>
      </c>
      <c r="I23">
        <f>IF(C27=0,0.01,C27)</f>
        <v>600</v>
      </c>
      <c r="J23">
        <f>IF(C27=0,0.01,C27)</f>
        <v>600</v>
      </c>
      <c r="K23" s="158">
        <v>1000</v>
      </c>
    </row>
    <row r="24" spans="1:11">
      <c r="A24" s="24" t="s">
        <v>67</v>
      </c>
      <c r="B24" s="24" t="s">
        <v>135</v>
      </c>
      <c r="C24" s="153">
        <f>VALUE(SunnyCentral!G80)</f>
        <v>50.5</v>
      </c>
      <c r="E24" s="159"/>
      <c r="F24" s="225">
        <f>C30</f>
        <v>47</v>
      </c>
      <c r="G24" s="225">
        <f>C30</f>
        <v>47</v>
      </c>
      <c r="H24" s="225">
        <f>C28</f>
        <v>49</v>
      </c>
      <c r="I24" s="225">
        <f>C28</f>
        <v>49</v>
      </c>
      <c r="J24" s="225">
        <f>C26</f>
        <v>49.5</v>
      </c>
      <c r="K24" s="227">
        <f>C26</f>
        <v>49.5</v>
      </c>
    </row>
    <row r="25" spans="1:11" ht="15.75" thickBot="1">
      <c r="A25" s="76" t="s">
        <v>68</v>
      </c>
      <c r="B25" s="76" t="s">
        <v>136</v>
      </c>
      <c r="C25" s="153">
        <f>VALUE(SunnyCentral!G81)</f>
        <v>600</v>
      </c>
    </row>
    <row r="26" spans="1:11">
      <c r="A26" s="74" t="s">
        <v>69</v>
      </c>
      <c r="B26" s="74" t="s">
        <v>137</v>
      </c>
      <c r="C26" s="153">
        <f>VALUE(SunnyCentral!G82)</f>
        <v>49.5</v>
      </c>
    </row>
    <row r="27" spans="1:11">
      <c r="A27" s="31" t="s">
        <v>70</v>
      </c>
      <c r="B27" s="31" t="s">
        <v>138</v>
      </c>
      <c r="C27" s="153">
        <f>VALUE(SunnyCentral!G83)</f>
        <v>600</v>
      </c>
    </row>
    <row r="28" spans="1:11">
      <c r="A28" s="31" t="s">
        <v>71</v>
      </c>
      <c r="B28" s="31" t="s">
        <v>139</v>
      </c>
      <c r="C28" s="153">
        <f>VALUE(SunnyCentral!G84)</f>
        <v>49</v>
      </c>
    </row>
    <row r="29" spans="1:11">
      <c r="A29" s="31" t="s">
        <v>72</v>
      </c>
      <c r="B29" s="31" t="s">
        <v>140</v>
      </c>
      <c r="C29" s="153">
        <f>VALUE(SunnyCentral!G85)</f>
        <v>120</v>
      </c>
    </row>
    <row r="30" spans="1:11">
      <c r="A30" s="31" t="s">
        <v>73</v>
      </c>
      <c r="B30" s="31" t="s">
        <v>141</v>
      </c>
      <c r="C30" s="153">
        <f>VALUE(SunnyCentral!G86)</f>
        <v>47</v>
      </c>
    </row>
    <row r="31" spans="1:11" ht="15.75" thickBot="1">
      <c r="A31" s="31" t="s">
        <v>74</v>
      </c>
      <c r="B31" s="73" t="s">
        <v>142</v>
      </c>
      <c r="C31" s="153">
        <f>VALUE(SunnyCentral!G87)</f>
        <v>0</v>
      </c>
    </row>
    <row r="37" spans="1:11" ht="15.75" thickBot="1">
      <c r="A37" s="351" t="s">
        <v>506</v>
      </c>
      <c r="B37" s="351"/>
      <c r="C37" s="351"/>
    </row>
    <row r="38" spans="1:11">
      <c r="A38" s="75" t="s">
        <v>63</v>
      </c>
      <c r="B38" s="75" t="s">
        <v>158</v>
      </c>
      <c r="C38" s="153">
        <f>VALUE(SunnyCentral!H76)</f>
        <v>52</v>
      </c>
      <c r="E38" s="154" t="s">
        <v>332</v>
      </c>
      <c r="F38" s="155">
        <f>IF(C39=0,0.01,C39)</f>
        <v>0.01</v>
      </c>
      <c r="G38" s="155">
        <f>C41</f>
        <v>120</v>
      </c>
      <c r="H38" s="155">
        <f>C41</f>
        <v>120</v>
      </c>
      <c r="I38" s="155">
        <f>C43</f>
        <v>600</v>
      </c>
      <c r="J38" s="155">
        <f>C43</f>
        <v>600</v>
      </c>
      <c r="K38" s="156">
        <v>1000</v>
      </c>
    </row>
    <row r="39" spans="1:11">
      <c r="A39" s="24" t="s">
        <v>64</v>
      </c>
      <c r="B39" s="24" t="s">
        <v>159</v>
      </c>
      <c r="C39" s="153">
        <f>VALUE(SunnyCentral!H77)</f>
        <v>0</v>
      </c>
      <c r="E39" s="157"/>
      <c r="F39">
        <f>C38</f>
        <v>52</v>
      </c>
      <c r="G39">
        <f>C38</f>
        <v>52</v>
      </c>
      <c r="H39">
        <f>C40</f>
        <v>51</v>
      </c>
      <c r="I39">
        <f>C40</f>
        <v>51</v>
      </c>
      <c r="J39">
        <f>C42</f>
        <v>50.5</v>
      </c>
      <c r="K39" s="158">
        <f>C42</f>
        <v>50.5</v>
      </c>
    </row>
    <row r="40" spans="1:11">
      <c r="A40" s="24" t="s">
        <v>65</v>
      </c>
      <c r="B40" s="24" t="s">
        <v>133</v>
      </c>
      <c r="C40" s="153">
        <f>VALUE(SunnyCentral!H78)</f>
        <v>51</v>
      </c>
      <c r="E40" s="157"/>
      <c r="K40" s="158"/>
    </row>
    <row r="41" spans="1:11">
      <c r="A41" s="24" t="s">
        <v>66</v>
      </c>
      <c r="B41" s="24" t="s">
        <v>134</v>
      </c>
      <c r="C41" s="153">
        <f>VALUE(SunnyCentral!H79)</f>
        <v>120</v>
      </c>
      <c r="E41" s="157"/>
      <c r="F41">
        <f>IF(C49=0,0.01, C49)</f>
        <v>0.01</v>
      </c>
      <c r="G41">
        <f>C47</f>
        <v>120</v>
      </c>
      <c r="H41">
        <f>C47</f>
        <v>120</v>
      </c>
      <c r="I41">
        <f>IF(C45=0,0.01,C45)</f>
        <v>600</v>
      </c>
      <c r="J41">
        <f>IF(C45=0,0.01,C45)</f>
        <v>600</v>
      </c>
      <c r="K41" s="158">
        <v>1000</v>
      </c>
    </row>
    <row r="42" spans="1:11">
      <c r="A42" s="24" t="s">
        <v>67</v>
      </c>
      <c r="B42" s="24" t="s">
        <v>135</v>
      </c>
      <c r="C42" s="153">
        <f>VALUE(SunnyCentral!H80)</f>
        <v>50.5</v>
      </c>
      <c r="E42" s="159"/>
      <c r="F42" s="160">
        <f>C48</f>
        <v>47</v>
      </c>
      <c r="G42" s="160">
        <f>C48</f>
        <v>47</v>
      </c>
      <c r="H42" s="160">
        <f>C46</f>
        <v>49</v>
      </c>
      <c r="I42" s="160">
        <f>C46</f>
        <v>49</v>
      </c>
      <c r="J42" s="160">
        <f>C44</f>
        <v>49.5</v>
      </c>
      <c r="K42" s="88">
        <f>C44</f>
        <v>49.5</v>
      </c>
    </row>
    <row r="43" spans="1:11" ht="15.75" thickBot="1">
      <c r="A43" s="76" t="s">
        <v>68</v>
      </c>
      <c r="B43" s="76" t="s">
        <v>136</v>
      </c>
      <c r="C43" s="153">
        <f>VALUE(SunnyCentral!H81)</f>
        <v>600</v>
      </c>
    </row>
    <row r="44" spans="1:11">
      <c r="A44" s="74" t="s">
        <v>69</v>
      </c>
      <c r="B44" s="74" t="s">
        <v>137</v>
      </c>
      <c r="C44" s="153">
        <f>VALUE(SunnyCentral!H82)</f>
        <v>49.5</v>
      </c>
    </row>
    <row r="45" spans="1:11">
      <c r="A45" s="31" t="s">
        <v>70</v>
      </c>
      <c r="B45" s="31" t="s">
        <v>138</v>
      </c>
      <c r="C45" s="153">
        <f>VALUE(SunnyCentral!H83)</f>
        <v>600</v>
      </c>
    </row>
    <row r="46" spans="1:11">
      <c r="A46" s="31" t="s">
        <v>71</v>
      </c>
      <c r="B46" s="31" t="s">
        <v>139</v>
      </c>
      <c r="C46" s="153">
        <f>VALUE(SunnyCentral!H84)</f>
        <v>49</v>
      </c>
    </row>
    <row r="47" spans="1:11">
      <c r="A47" s="31" t="s">
        <v>72</v>
      </c>
      <c r="B47" s="31" t="s">
        <v>140</v>
      </c>
      <c r="C47" s="153">
        <f>VALUE(SunnyCentral!H85)</f>
        <v>120</v>
      </c>
    </row>
    <row r="48" spans="1:11">
      <c r="A48" s="31" t="s">
        <v>73</v>
      </c>
      <c r="B48" s="31" t="s">
        <v>141</v>
      </c>
      <c r="C48" s="153">
        <f>VALUE(SunnyCentral!H86)</f>
        <v>47</v>
      </c>
    </row>
    <row r="49" spans="1:3" ht="15.75" thickBot="1">
      <c r="A49" s="31" t="s">
        <v>74</v>
      </c>
      <c r="B49" s="73" t="s">
        <v>142</v>
      </c>
      <c r="C49" s="153">
        <f>VALUE(SunnyCentral!H87)</f>
        <v>0</v>
      </c>
    </row>
  </sheetData>
  <mergeCells count="3">
    <mergeCell ref="A1:C1"/>
    <mergeCell ref="A19:C19"/>
    <mergeCell ref="A37:C37"/>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C22"/>
  <sheetViews>
    <sheetView workbookViewId="0">
      <selection activeCell="B16" sqref="B16"/>
    </sheetView>
  </sheetViews>
  <sheetFormatPr defaultColWidth="9.140625" defaultRowHeight="15"/>
  <sheetData>
    <row r="22" spans="3:3">
      <c r="C22" s="22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RecommendedFreqSettingsChart">
                <anchor moveWithCells="1" sizeWithCells="1">
                  <from>
                    <xdr:col>1</xdr:col>
                    <xdr:colOff>19050</xdr:colOff>
                    <xdr:row>1</xdr:row>
                    <xdr:rowOff>180975</xdr:rowOff>
                  </from>
                  <to>
                    <xdr:col>3</xdr:col>
                    <xdr:colOff>123825</xdr:colOff>
                    <xdr:row>7</xdr:row>
                    <xdr:rowOff>47625</xdr:rowOff>
                  </to>
                </anchor>
              </controlPr>
            </control>
          </mc:Choice>
        </mc:AlternateContent>
        <mc:AlternateContent xmlns:mc="http://schemas.openxmlformats.org/markup-compatibility/2006">
          <mc:Choice Requires="x14">
            <control shapeId="20484" r:id="rId4" name="Button 4">
              <controlPr defaultSize="0" print="0" autoFill="0" autoPict="0" macro="[0]!CustomersFreqSettingsChart">
                <anchor moveWithCells="1" sizeWithCells="1">
                  <from>
                    <xdr:col>1</xdr:col>
                    <xdr:colOff>19050</xdr:colOff>
                    <xdr:row>9</xdr:row>
                    <xdr:rowOff>9525</xdr:rowOff>
                  </from>
                  <to>
                    <xdr:col>3</xdr:col>
                    <xdr:colOff>123825</xdr:colOff>
                    <xdr:row>14</xdr:row>
                    <xdr:rowOff>66675</xdr:rowOff>
                  </to>
                </anchor>
              </controlPr>
            </control>
          </mc:Choice>
        </mc:AlternateContent>
        <mc:AlternateContent xmlns:mc="http://schemas.openxmlformats.org/markup-compatibility/2006">
          <mc:Choice Requires="x14">
            <control shapeId="20485" r:id="rId5" name="Button 5">
              <controlPr defaultSize="0" print="0" autoFill="0" autoPict="0" macro="[0]!ImportedFreqSettingsChart">
                <anchor moveWithCells="1" sizeWithCells="1">
                  <from>
                    <xdr:col>1</xdr:col>
                    <xdr:colOff>19050</xdr:colOff>
                    <xdr:row>16</xdr:row>
                    <xdr:rowOff>28575</xdr:rowOff>
                  </from>
                  <to>
                    <xdr:col>3</xdr:col>
                    <xdr:colOff>123825</xdr:colOff>
                    <xdr:row>21</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B3:E158"/>
  <sheetViews>
    <sheetView topLeftCell="A15" workbookViewId="0">
      <selection activeCell="B160" sqref="B160"/>
    </sheetView>
  </sheetViews>
  <sheetFormatPr defaultColWidth="11.42578125" defaultRowHeight="15"/>
  <cols>
    <col min="2" max="2" width="29.5703125" customWidth="1"/>
    <col min="3" max="3" width="11.42578125" style="216"/>
    <col min="5" max="5" width="11.42578125" style="217"/>
  </cols>
  <sheetData>
    <row r="3" spans="2:3">
      <c r="B3" t="s">
        <v>362</v>
      </c>
    </row>
    <row r="4" spans="2:3">
      <c r="B4" t="s">
        <v>363</v>
      </c>
      <c r="C4" s="218">
        <v>2500</v>
      </c>
    </row>
    <row r="6" spans="2:3">
      <c r="B6" t="s">
        <v>364</v>
      </c>
    </row>
    <row r="8" spans="2:3">
      <c r="B8" t="s">
        <v>365</v>
      </c>
      <c r="C8" s="216">
        <f>$C$4</f>
        <v>2500</v>
      </c>
    </row>
    <row r="9" spans="2:3">
      <c r="B9" t="s">
        <v>366</v>
      </c>
      <c r="C9" s="216">
        <f>$C$4</f>
        <v>2500</v>
      </c>
    </row>
    <row r="10" spans="2:3">
      <c r="B10" t="s">
        <v>367</v>
      </c>
      <c r="C10" s="216">
        <f>$C$4*SIN(ACOS(SunnyCentral!G12))</f>
        <v>1499.9999999999998</v>
      </c>
    </row>
    <row r="12" spans="2:3">
      <c r="B12" t="s">
        <v>368</v>
      </c>
      <c r="C12" s="216">
        <f>IF(SunnyCentral!G86&lt;50,50,60)</f>
        <v>50</v>
      </c>
    </row>
    <row r="13" spans="2:3">
      <c r="B13" t="s">
        <v>369</v>
      </c>
      <c r="C13" s="216">
        <v>0.14599999999999999</v>
      </c>
    </row>
    <row r="15" spans="2:3">
      <c r="B15" t="s">
        <v>370</v>
      </c>
    </row>
    <row r="16" spans="2:3">
      <c r="B16" t="s">
        <v>371</v>
      </c>
      <c r="C16" s="216" t="s">
        <v>372</v>
      </c>
    </row>
    <row r="17" spans="2:3">
      <c r="B17" t="s">
        <v>373</v>
      </c>
      <c r="C17" s="216" t="s">
        <v>374</v>
      </c>
    </row>
    <row r="18" spans="2:3">
      <c r="B18" t="s">
        <v>375</v>
      </c>
      <c r="C18" s="216" t="s">
        <v>376</v>
      </c>
    </row>
    <row r="19" spans="2:3">
      <c r="B19" t="s">
        <v>377</v>
      </c>
      <c r="C19" s="216" t="s">
        <v>378</v>
      </c>
    </row>
    <row r="22" spans="2:3">
      <c r="B22" t="s">
        <v>379</v>
      </c>
      <c r="C22" s="216" t="str">
        <f>IF(SunnyCentral!G42&gt;=1,"SPT_FRT_MOD_FULL","SPT_FRT_MOD_PARTIAL")</f>
        <v>SPT_FRT_MOD_FULL</v>
      </c>
    </row>
    <row r="24" spans="2:3">
      <c r="B24" t="s">
        <v>380</v>
      </c>
    </row>
    <row r="25" spans="2:3">
      <c r="B25" t="s">
        <v>381</v>
      </c>
      <c r="C25" s="216">
        <f>1+SunnyCentral!G48</f>
        <v>1.25</v>
      </c>
    </row>
    <row r="26" spans="2:3">
      <c r="B26" t="s">
        <v>382</v>
      </c>
      <c r="C26" s="216">
        <f>1-SunnyCentral!G50</f>
        <v>0.75</v>
      </c>
    </row>
    <row r="29" spans="2:3">
      <c r="B29" t="s">
        <v>383</v>
      </c>
    </row>
    <row r="30" spans="2:3">
      <c r="B30" t="s">
        <v>384</v>
      </c>
      <c r="C30" s="216">
        <f>IF(SunnyCentral!G42=2,SunnyCentral!G46,SunnyCentral!G45)</f>
        <v>2.5</v>
      </c>
    </row>
    <row r="31" spans="2:3">
      <c r="B31" t="s">
        <v>385</v>
      </c>
      <c r="C31" s="216">
        <f>IF(SunnyCentral!G42=2,SunnyCentral!G46,SunnyCentral!G45)</f>
        <v>2.5</v>
      </c>
    </row>
    <row r="32" spans="2:3">
      <c r="B32" t="s">
        <v>386</v>
      </c>
      <c r="C32" s="216">
        <f>IF(SunnyCentral!G42=2,0,SunnyCentral!G45)</f>
        <v>0</v>
      </c>
    </row>
    <row r="33" spans="2:5">
      <c r="B33" t="s">
        <v>387</v>
      </c>
      <c r="C33" s="216">
        <f>IF(SunnyCentral!G42=2,0,SunnyCentral!G45)</f>
        <v>0</v>
      </c>
    </row>
    <row r="34" spans="2:5">
      <c r="B34" t="s">
        <v>388</v>
      </c>
      <c r="C34" s="216">
        <f>IF(SunnyCentral!G42=2,SunnyCentral!G47,SunnyCentral!G45)</f>
        <v>2.5</v>
      </c>
    </row>
    <row r="35" spans="2:5">
      <c r="B35" t="s">
        <v>389</v>
      </c>
      <c r="C35" s="216">
        <f>IF(SunnyCentral!G42=2,SunnyCentral!G47,SunnyCentral!G45)</f>
        <v>2.5</v>
      </c>
    </row>
    <row r="37" spans="2:5">
      <c r="B37" t="s">
        <v>390</v>
      </c>
    </row>
    <row r="38" spans="2:5">
      <c r="B38" t="s">
        <v>391</v>
      </c>
      <c r="C38" s="216">
        <f>C25</f>
        <v>1.25</v>
      </c>
    </row>
    <row r="39" spans="2:5">
      <c r="B39" t="s">
        <v>392</v>
      </c>
      <c r="C39" s="216">
        <f>C25</f>
        <v>1.25</v>
      </c>
    </row>
    <row r="40" spans="2:5">
      <c r="B40" t="s">
        <v>393</v>
      </c>
      <c r="C40" s="216">
        <v>1</v>
      </c>
    </row>
    <row r="41" spans="2:5">
      <c r="B41" t="s">
        <v>394</v>
      </c>
      <c r="C41" s="216">
        <v>1</v>
      </c>
    </row>
    <row r="42" spans="2:5">
      <c r="B42" t="s">
        <v>395</v>
      </c>
      <c r="C42" s="216">
        <f>C26</f>
        <v>0.75</v>
      </c>
    </row>
    <row r="43" spans="2:5">
      <c r="B43" t="s">
        <v>396</v>
      </c>
      <c r="C43" s="216">
        <f>C26</f>
        <v>0.75</v>
      </c>
    </row>
    <row r="45" spans="2:5">
      <c r="B45" t="s">
        <v>397</v>
      </c>
    </row>
    <row r="46" spans="2:5">
      <c r="B46" t="s">
        <v>398</v>
      </c>
      <c r="C46" s="216">
        <f>ROUND(0.95/(SunnyCentral!G52*3),1)</f>
        <v>10.6</v>
      </c>
      <c r="E46" s="217" t="s">
        <v>399</v>
      </c>
    </row>
    <row r="48" spans="2:5">
      <c r="B48" t="s">
        <v>400</v>
      </c>
    </row>
    <row r="49" spans="2:5">
      <c r="B49" t="s">
        <v>401</v>
      </c>
    </row>
    <row r="50" spans="2:5">
      <c r="B50" t="s">
        <v>402</v>
      </c>
      <c r="C50" s="216">
        <v>1</v>
      </c>
      <c r="E50" s="217" t="s">
        <v>403</v>
      </c>
    </row>
    <row r="51" spans="2:5">
      <c r="B51" t="s">
        <v>404</v>
      </c>
      <c r="C51" s="216">
        <v>1</v>
      </c>
      <c r="E51" s="217" t="s">
        <v>403</v>
      </c>
    </row>
    <row r="54" spans="2:5">
      <c r="B54" t="s">
        <v>405</v>
      </c>
    </row>
    <row r="55" spans="2:5">
      <c r="B55" t="s">
        <v>406</v>
      </c>
    </row>
    <row r="56" spans="2:5">
      <c r="B56" t="s">
        <v>407</v>
      </c>
      <c r="C56" s="219">
        <v>1</v>
      </c>
      <c r="E56" s="217" t="s">
        <v>408</v>
      </c>
    </row>
    <row r="57" spans="2:5">
      <c r="B57" t="s">
        <v>409</v>
      </c>
      <c r="C57" s="216">
        <v>0.45</v>
      </c>
      <c r="E57" s="217" t="s">
        <v>410</v>
      </c>
    </row>
    <row r="59" spans="2:5">
      <c r="B59" t="s">
        <v>411</v>
      </c>
      <c r="E59" s="217" t="s">
        <v>412</v>
      </c>
    </row>
    <row r="60" spans="2:5">
      <c r="B60" t="s">
        <v>413</v>
      </c>
      <c r="C60" s="216" t="s">
        <v>414</v>
      </c>
    </row>
    <row r="61" spans="2:5">
      <c r="B61" t="s">
        <v>415</v>
      </c>
      <c r="C61" s="216" t="s">
        <v>416</v>
      </c>
    </row>
    <row r="62" spans="2:5">
      <c r="B62" t="s">
        <v>417</v>
      </c>
      <c r="C62" s="216" t="s">
        <v>418</v>
      </c>
    </row>
    <row r="63" spans="2:5">
      <c r="B63" t="s">
        <v>419</v>
      </c>
      <c r="C63" s="219" t="s">
        <v>420</v>
      </c>
    </row>
    <row r="65" spans="2:5">
      <c r="B65" t="s">
        <v>421</v>
      </c>
      <c r="C65" s="216">
        <v>0</v>
      </c>
      <c r="E65" s="217" t="s">
        <v>422</v>
      </c>
    </row>
    <row r="66" spans="2:5">
      <c r="B66" t="s">
        <v>99</v>
      </c>
      <c r="C66" s="216">
        <f>SunnyCentral!G40</f>
        <v>1</v>
      </c>
    </row>
    <row r="67" spans="2:5">
      <c r="B67" t="s">
        <v>423</v>
      </c>
      <c r="C67" s="216">
        <v>0</v>
      </c>
      <c r="E67" s="217" t="s">
        <v>422</v>
      </c>
    </row>
    <row r="68" spans="2:5">
      <c r="B68" t="s">
        <v>100</v>
      </c>
      <c r="C68" s="216">
        <f>SunnyCentral!G41</f>
        <v>2</v>
      </c>
    </row>
    <row r="70" spans="2:5">
      <c r="B70" t="s">
        <v>424</v>
      </c>
    </row>
    <row r="71" spans="2:5">
      <c r="B71" t="s">
        <v>425</v>
      </c>
      <c r="C71" s="216" t="s">
        <v>426</v>
      </c>
    </row>
    <row r="72" spans="2:5">
      <c r="E72" s="217" t="s">
        <v>427</v>
      </c>
    </row>
    <row r="73" spans="2:5">
      <c r="B73" t="s">
        <v>428</v>
      </c>
      <c r="C73" s="216">
        <v>0.01</v>
      </c>
    </row>
    <row r="75" spans="2:5">
      <c r="B75" t="s">
        <v>429</v>
      </c>
      <c r="C75" s="216">
        <v>0</v>
      </c>
    </row>
    <row r="76" spans="2:5">
      <c r="B76" t="s">
        <v>430</v>
      </c>
      <c r="C76" s="216">
        <v>10</v>
      </c>
    </row>
    <row r="77" spans="2:5">
      <c r="B77" t="s">
        <v>431</v>
      </c>
      <c r="C77" s="216">
        <v>10</v>
      </c>
    </row>
    <row r="78" spans="2:5">
      <c r="B78" t="s">
        <v>432</v>
      </c>
      <c r="C78" s="216">
        <v>10</v>
      </c>
    </row>
    <row r="79" spans="2:5">
      <c r="B79" t="s">
        <v>433</v>
      </c>
      <c r="C79" s="216">
        <v>10</v>
      </c>
    </row>
    <row r="80" spans="2:5">
      <c r="B80" t="s">
        <v>434</v>
      </c>
      <c r="C80" s="216">
        <v>0</v>
      </c>
    </row>
    <row r="82" spans="2:5">
      <c r="B82" t="s">
        <v>435</v>
      </c>
      <c r="C82" s="216">
        <v>2</v>
      </c>
    </row>
    <row r="83" spans="2:5">
      <c r="B83" t="s">
        <v>436</v>
      </c>
      <c r="C83" s="216">
        <v>1.05</v>
      </c>
    </row>
    <row r="84" spans="2:5">
      <c r="B84" t="s">
        <v>437</v>
      </c>
      <c r="C84" s="216">
        <v>1</v>
      </c>
      <c r="E84" s="217" t="s">
        <v>438</v>
      </c>
    </row>
    <row r="85" spans="2:5">
      <c r="B85" t="s">
        <v>439</v>
      </c>
      <c r="C85" s="216">
        <v>0.95</v>
      </c>
    </row>
    <row r="86" spans="2:5">
      <c r="B86" t="s">
        <v>440</v>
      </c>
      <c r="C86" s="216">
        <v>0</v>
      </c>
    </row>
    <row r="89" spans="2:5">
      <c r="B89" t="s">
        <v>441</v>
      </c>
    </row>
    <row r="90" spans="2:5">
      <c r="B90" t="s">
        <v>442</v>
      </c>
    </row>
    <row r="91" spans="2:5">
      <c r="B91" t="s">
        <v>443</v>
      </c>
    </row>
    <row r="92" spans="2:5">
      <c r="B92" t="s">
        <v>444</v>
      </c>
    </row>
    <row r="94" spans="2:5">
      <c r="B94" t="s">
        <v>445</v>
      </c>
      <c r="C94" s="216">
        <v>0</v>
      </c>
      <c r="E94" s="217" t="s">
        <v>446</v>
      </c>
    </row>
    <row r="95" spans="2:5">
      <c r="B95" t="s">
        <v>447</v>
      </c>
      <c r="C95" s="216">
        <v>0</v>
      </c>
      <c r="E95" s="217" t="s">
        <v>448</v>
      </c>
    </row>
    <row r="97" spans="2:5">
      <c r="B97" t="s">
        <v>449</v>
      </c>
      <c r="C97" s="216">
        <f>C125</f>
        <v>50.5</v>
      </c>
      <c r="E97" s="217" t="s">
        <v>450</v>
      </c>
    </row>
    <row r="98" spans="2:5">
      <c r="B98" t="s">
        <v>451</v>
      </c>
      <c r="C98" s="216">
        <f>C135</f>
        <v>49.5</v>
      </c>
      <c r="E98" s="217" t="s">
        <v>450</v>
      </c>
    </row>
    <row r="100" spans="2:5">
      <c r="B100" t="s">
        <v>452</v>
      </c>
    </row>
    <row r="101" spans="2:5">
      <c r="B101" t="s">
        <v>453</v>
      </c>
      <c r="C101" s="216">
        <f>SunnyCentral!G68</f>
        <v>1.1200000000000001</v>
      </c>
    </row>
    <row r="102" spans="2:5">
      <c r="B102" t="s">
        <v>454</v>
      </c>
      <c r="C102" s="216">
        <f>SunnyCentral!G66</f>
        <v>1.22</v>
      </c>
    </row>
    <row r="103" spans="2:5">
      <c r="B103" t="s">
        <v>455</v>
      </c>
      <c r="C103" s="216">
        <f>SunnyCentral!G64</f>
        <v>1.32</v>
      </c>
    </row>
    <row r="104" spans="2:5">
      <c r="B104" t="s">
        <v>456</v>
      </c>
      <c r="C104" s="216">
        <f>C103</f>
        <v>1.32</v>
      </c>
    </row>
    <row r="106" spans="2:5">
      <c r="B106" t="s">
        <v>457</v>
      </c>
    </row>
    <row r="107" spans="2:5">
      <c r="B107" t="s">
        <v>458</v>
      </c>
      <c r="C107" s="216">
        <f>SunnyCentral!G69*1000</f>
        <v>1000</v>
      </c>
    </row>
    <row r="108" spans="2:5">
      <c r="B108" t="s">
        <v>459</v>
      </c>
      <c r="C108" s="216">
        <f>SunnyCentral!G67*1000</f>
        <v>500</v>
      </c>
    </row>
    <row r="109" spans="2:5">
      <c r="B109" t="s">
        <v>460</v>
      </c>
      <c r="C109" s="216">
        <f>SunnyCentral!G65*1000</f>
        <v>0</v>
      </c>
    </row>
    <row r="110" spans="2:5">
      <c r="B110" t="s">
        <v>461</v>
      </c>
      <c r="C110" s="216">
        <v>0</v>
      </c>
    </row>
    <row r="112" spans="2:5">
      <c r="B112" t="s">
        <v>462</v>
      </c>
    </row>
    <row r="113" spans="2:3">
      <c r="B113" t="s">
        <v>463</v>
      </c>
      <c r="C113" s="216">
        <f>SunnyCentral!G70</f>
        <v>0.88</v>
      </c>
    </row>
    <row r="114" spans="2:3">
      <c r="B114" t="s">
        <v>464</v>
      </c>
      <c r="C114" s="216">
        <f>SunnyCentral!G72</f>
        <v>0.78</v>
      </c>
    </row>
    <row r="115" spans="2:3">
      <c r="B115" t="s">
        <v>465</v>
      </c>
      <c r="C115" s="216">
        <f>SunnyCentral!G74</f>
        <v>0.68</v>
      </c>
    </row>
    <row r="116" spans="2:3">
      <c r="B116" t="s">
        <v>466</v>
      </c>
      <c r="C116" s="216">
        <f>C115</f>
        <v>0.68</v>
      </c>
    </row>
    <row r="118" spans="2:3">
      <c r="B118" t="s">
        <v>467</v>
      </c>
    </row>
    <row r="119" spans="2:3">
      <c r="B119" t="s">
        <v>468</v>
      </c>
      <c r="C119" s="216">
        <f>SunnyCentral!G71*1000</f>
        <v>10500</v>
      </c>
    </row>
    <row r="120" spans="2:3">
      <c r="B120" t="s">
        <v>469</v>
      </c>
      <c r="C120" s="216">
        <f>SunnyCentral!G73*1000</f>
        <v>2100</v>
      </c>
    </row>
    <row r="121" spans="2:3">
      <c r="B121" t="s">
        <v>470</v>
      </c>
      <c r="C121" s="216">
        <f>SunnyCentral!G75*1000</f>
        <v>500</v>
      </c>
    </row>
    <row r="122" spans="2:3">
      <c r="B122" t="s">
        <v>471</v>
      </c>
      <c r="C122" s="216">
        <f>C121</f>
        <v>500</v>
      </c>
    </row>
    <row r="124" spans="2:3">
      <c r="B124" t="s">
        <v>472</v>
      </c>
    </row>
    <row r="125" spans="2:3">
      <c r="B125" t="s">
        <v>473</v>
      </c>
      <c r="C125" s="216">
        <f>SunnyCentral!G80</f>
        <v>50.5</v>
      </c>
    </row>
    <row r="126" spans="2:3">
      <c r="B126" t="s">
        <v>474</v>
      </c>
      <c r="C126" s="216">
        <f>SunnyCentral!G78</f>
        <v>51</v>
      </c>
    </row>
    <row r="127" spans="2:3">
      <c r="B127" t="s">
        <v>475</v>
      </c>
      <c r="C127" s="216">
        <f>SunnyCentral!G76</f>
        <v>52</v>
      </c>
    </row>
    <row r="129" spans="2:3">
      <c r="B129" t="s">
        <v>476</v>
      </c>
    </row>
    <row r="130" spans="2:3">
      <c r="B130" t="s">
        <v>477</v>
      </c>
      <c r="C130" s="216">
        <f>SunnyCentral!G81*1000</f>
        <v>600000</v>
      </c>
    </row>
    <row r="131" spans="2:3">
      <c r="B131" t="s">
        <v>478</v>
      </c>
      <c r="C131" s="216">
        <f>SunnyCentral!G79*1000</f>
        <v>120000</v>
      </c>
    </row>
    <row r="132" spans="2:3">
      <c r="B132" t="s">
        <v>479</v>
      </c>
      <c r="C132" s="216">
        <f>SunnyCentral!G77*1000</f>
        <v>0</v>
      </c>
    </row>
    <row r="134" spans="2:3">
      <c r="B134" t="s">
        <v>480</v>
      </c>
    </row>
    <row r="135" spans="2:3">
      <c r="B135" t="s">
        <v>481</v>
      </c>
      <c r="C135" s="216">
        <f>SunnyCentral!G82</f>
        <v>49.5</v>
      </c>
    </row>
    <row r="136" spans="2:3">
      <c r="B136" t="s">
        <v>482</v>
      </c>
      <c r="C136" s="216">
        <f>SunnyCentral!G84</f>
        <v>49</v>
      </c>
    </row>
    <row r="137" spans="2:3">
      <c r="B137" t="s">
        <v>483</v>
      </c>
      <c r="C137" s="216">
        <f>SunnyCentral!G86</f>
        <v>47</v>
      </c>
    </row>
    <row r="138" spans="2:3">
      <c r="B138" t="s">
        <v>484</v>
      </c>
      <c r="C138" s="216">
        <f>C137</f>
        <v>47</v>
      </c>
    </row>
    <row r="140" spans="2:3">
      <c r="B140" t="s">
        <v>485</v>
      </c>
    </row>
    <row r="141" spans="2:3">
      <c r="B141" t="s">
        <v>486</v>
      </c>
      <c r="C141" s="216">
        <f>SunnyCentral!G83*1000</f>
        <v>600000</v>
      </c>
    </row>
    <row r="142" spans="2:3">
      <c r="B142" t="s">
        <v>487</v>
      </c>
      <c r="C142" s="216">
        <f>SunnyCentral!G85*1000</f>
        <v>120000</v>
      </c>
    </row>
    <row r="143" spans="2:3">
      <c r="B143" t="s">
        <v>488</v>
      </c>
      <c r="C143" s="216">
        <f>SunnyCentral!G87*1000</f>
        <v>0</v>
      </c>
    </row>
    <row r="144" spans="2:3">
      <c r="B144" t="s">
        <v>489</v>
      </c>
      <c r="C144" s="216">
        <f>C143</f>
        <v>0</v>
      </c>
    </row>
    <row r="146" spans="2:5">
      <c r="B146" t="s">
        <v>490</v>
      </c>
    </row>
    <row r="147" spans="2:5">
      <c r="B147" t="s">
        <v>491</v>
      </c>
      <c r="C147" s="216">
        <v>1.5</v>
      </c>
      <c r="E147" s="217" t="s">
        <v>492</v>
      </c>
    </row>
    <row r="149" spans="2:5">
      <c r="B149" t="s">
        <v>493</v>
      </c>
    </row>
    <row r="150" spans="2:5">
      <c r="B150" t="s">
        <v>494</v>
      </c>
      <c r="C150" s="216">
        <v>6</v>
      </c>
      <c r="E150" s="217" t="s">
        <v>495</v>
      </c>
    </row>
    <row r="153" spans="2:5">
      <c r="B153" t="s">
        <v>496</v>
      </c>
      <c r="C153" s="216">
        <v>0.3</v>
      </c>
      <c r="E153" s="217" t="s">
        <v>497</v>
      </c>
    </row>
    <row r="156" spans="2:5">
      <c r="B156" t="s">
        <v>498</v>
      </c>
    </row>
    <row r="158" spans="2:5">
      <c r="E158" s="217" t="s">
        <v>499</v>
      </c>
    </row>
  </sheetData>
  <dataValidations count="1">
    <dataValidation type="list" allowBlank="1" showInputMessage="1" showErrorMessage="1" sqref="C4" xr:uid="{00000000-0002-0000-0A00-000000000000}">
      <formula1>"2500,2200"</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79cd7128-7692-472f-9aff-5e5a6b9f80d3" xsi:nil="true"/>
    <OX2_Project_Id xmlns="79cd7128-7692-472f-9aff-5e5a6b9f80d3">10471</OX2_Project_Id>
    <lcf76f155ced4ddcb4097134ff3c332f xmlns="4c813fe8-1347-4959-8219-8a1b0e95da11">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3416DCB34DD7C4B92E65D12CB7FCD38" ma:contentTypeVersion="15" ma:contentTypeDescription="Create a new document." ma:contentTypeScope="" ma:versionID="65b0a746a148edb6cd10986272315b1f">
  <xsd:schema xmlns:xsd="http://www.w3.org/2001/XMLSchema" xmlns:xs="http://www.w3.org/2001/XMLSchema" xmlns:p="http://schemas.microsoft.com/office/2006/metadata/properties" xmlns:ns2="79cd7128-7692-472f-9aff-5e5a6b9f80d3" xmlns:ns3="4c813fe8-1347-4959-8219-8a1b0e95da11" targetNamespace="http://schemas.microsoft.com/office/2006/metadata/properties" ma:root="true" ma:fieldsID="58eb3e04bae002f6adef8007524b2a24" ns2:_="" ns3:_="">
    <xsd:import namespace="79cd7128-7692-472f-9aff-5e5a6b9f80d3"/>
    <xsd:import namespace="4c813fe8-1347-4959-8219-8a1b0e95da11"/>
    <xsd:element name="properties">
      <xsd:complexType>
        <xsd:sequence>
          <xsd:element name="documentManagement">
            <xsd:complexType>
              <xsd:all>
                <xsd:element ref="ns2:OX2_Project_Id" minOccurs="0"/>
                <xsd:element ref="ns2:SharedWithUsers" minOccurs="0"/>
                <xsd:element ref="ns2:SharedWithDetails" minOccurs="0"/>
                <xsd:element ref="ns3:MediaServiceMetadata" minOccurs="0"/>
                <xsd:element ref="ns3:MediaServiceFastMetadata" minOccurs="0"/>
                <xsd:element ref="ns3:MediaServiceObjectDetectorVersions"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9cd7128-7692-472f-9aff-5e5a6b9f80d3" elementFormDefault="qualified">
    <xsd:import namespace="http://schemas.microsoft.com/office/2006/documentManagement/types"/>
    <xsd:import namespace="http://schemas.microsoft.com/office/infopath/2007/PartnerControls"/>
    <xsd:element name="OX2_Project_Id" ma:index="8" nillable="true" ma:displayName="Project Number" ma:internalName="OX2_Project_Id">
      <xsd:simpleType>
        <xsd:restriction base="dms:Text"/>
      </xsd:simpleType>
    </xsd:element>
    <xsd:element name="SharedWithUsers" ma:index="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6d933788-18c3-4fb6-81e3-30797d1d2137}" ma:internalName="TaxCatchAll" ma:showField="CatchAllData" ma:web="79cd7128-7692-472f-9aff-5e5a6b9f80d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c813fe8-1347-4959-8219-8a1b0e95da11"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d1a101f0-c96a-436f-92e5-2eae4ddf4f0a"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ServiceLocation" ma:index="21" nillable="true" ma:displayName="Location" ma:indexed="true" ma:internalName="MediaServiceLocation"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BC90FA6-E255-4395-BE67-8FC5ABFD5560}">
  <ds:schemaRefs>
    <ds:schemaRef ds:uri="http://schemas.microsoft.com/office/2006/metadata/properties"/>
    <ds:schemaRef ds:uri="http://schemas.microsoft.com/office/infopath/2007/PartnerControls"/>
    <ds:schemaRef ds:uri="e3e68ebe-9ec3-4a44-994d-db1f07a01e03"/>
  </ds:schemaRefs>
</ds:datastoreItem>
</file>

<file path=customXml/itemProps2.xml><?xml version="1.0" encoding="utf-8"?>
<ds:datastoreItem xmlns:ds="http://schemas.openxmlformats.org/officeDocument/2006/customXml" ds:itemID="{BA3A6B85-0A56-473C-829A-3BEBD31BB3BD}">
  <ds:schemaRefs>
    <ds:schemaRef ds:uri="http://schemas.microsoft.com/sharepoint/v3/contenttype/forms"/>
  </ds:schemaRefs>
</ds:datastoreItem>
</file>

<file path=customXml/itemProps3.xml><?xml version="1.0" encoding="utf-8"?>
<ds:datastoreItem xmlns:ds="http://schemas.openxmlformats.org/officeDocument/2006/customXml" ds:itemID="{7485E2BD-90AB-406D-BBC1-5122DB651AA8}"/>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11</vt:i4>
      </vt:variant>
      <vt:variant>
        <vt:lpstr>Named Ranges</vt:lpstr>
      </vt:variant>
      <vt:variant>
        <vt:i4>6</vt:i4>
      </vt:variant>
    </vt:vector>
  </HeadingPairs>
  <TitlesOfParts>
    <vt:vector size="17" baseType="lpstr">
      <vt:lpstr>Import &amp; Export</vt:lpstr>
      <vt:lpstr>Hidden Calculation</vt:lpstr>
      <vt:lpstr>SCx00CP-XT</vt:lpstr>
      <vt:lpstr>SunnyCentral</vt:lpstr>
      <vt:lpstr>PPC</vt:lpstr>
      <vt:lpstr>Sheet1</vt:lpstr>
      <vt:lpstr>Volt ride-thru</vt:lpstr>
      <vt:lpstr>Volt ride-thru graph</vt:lpstr>
      <vt:lpstr>Freq ride-thru</vt:lpstr>
      <vt:lpstr>Freq ride-thru graph</vt:lpstr>
      <vt:lpstr>PSCAD</vt:lpstr>
      <vt:lpstr>Export_Inverter</vt:lpstr>
      <vt:lpstr>Export_PPC</vt:lpstr>
      <vt:lpstr>J_inverter_data</vt:lpstr>
      <vt:lpstr>J_inverter_raw</vt:lpstr>
      <vt:lpstr>J_PPC_data</vt:lpstr>
      <vt:lpstr>J_PPC_raw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Carsten.Wendt@SMA-Australia.com.au</dc:creator>
  <cp:lastModifiedBy>Dao Vu</cp:lastModifiedBy>
  <dcterms:created xsi:type="dcterms:W3CDTF">2015-08-20T23:49:55Z</dcterms:created>
  <dcterms:modified xsi:type="dcterms:W3CDTF">2023-03-28T22:05:38Z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0x010100B3416DCB34DD7C4B92E65D12CB7FCD38</vt:lpwstr>
  </property>
</Properties>
</file>